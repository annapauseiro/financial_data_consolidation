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apauseir_cisco_com/Documents/Documents/Pessoal/Freelancer/Projects/legal_group_consolidation_project/"/>
    </mc:Choice>
  </mc:AlternateContent>
  <xr:revisionPtr revIDLastSave="3" documentId="13_ncr:1_{E361AA16-080C-4B3D-A70C-5E9D5DB6B633}" xr6:coauthVersionLast="47" xr6:coauthVersionMax="47" xr10:uidLastSave="{D2A75868-140E-4798-8F33-22283ABE837F}"/>
  <bookViews>
    <workbookView xWindow="-98" yWindow="-98" windowWidth="21795" windowHeight="12975" tabRatio="842" xr2:uid="{00000000-000D-0000-FFFF-FFFF00000000}"/>
  </bookViews>
  <sheets>
    <sheet name="README" sheetId="1" r:id="rId1"/>
    <sheet name="Dashboard" sheetId="7" r:id="rId2"/>
    <sheet name="Close_Checklist" sheetId="2" r:id="rId3"/>
    <sheet name="Trial_Balance" sheetId="3" r:id="rId4"/>
    <sheet name="Bank_Reconciliation" sheetId="4" r:id="rId5"/>
    <sheet name="Consolidation" sheetId="5" r:id="rId6"/>
    <sheet name="Budget_vs_Actual" sheetId="6" r:id="rId7"/>
    <sheet name="Dashboard_Data" sheetId="8" state="hidden" r:id="rId8"/>
    <sheet name="PQ_GL_Data" sheetId="9" r:id="rId9"/>
    <sheet name="PQ_Bank_Data" sheetId="10" r:id="rId10"/>
    <sheet name="PQ_Budget_Data" sheetId="11" r:id="rId11"/>
    <sheet name="PQ_Entity_Dim" sheetId="12" r:id="rId12"/>
    <sheet name="PQ_Account_Dim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8" l="1"/>
  <c r="D19" i="8"/>
  <c r="C19" i="8"/>
  <c r="B19" i="8"/>
  <c r="E19" i="8" s="1"/>
  <c r="D18" i="8"/>
  <c r="C18" i="8"/>
  <c r="B18" i="8"/>
  <c r="E18" i="8" s="1"/>
  <c r="D17" i="8"/>
  <c r="C17" i="8"/>
  <c r="B17" i="8"/>
  <c r="E17" i="8" s="1"/>
  <c r="D16" i="8"/>
  <c r="C16" i="8"/>
  <c r="B16" i="8"/>
  <c r="E16" i="8" s="1"/>
  <c r="E15" i="8"/>
  <c r="D15" i="8"/>
  <c r="C15" i="8"/>
  <c r="B15" i="8"/>
  <c r="D14" i="8"/>
  <c r="C14" i="8"/>
  <c r="B14" i="8"/>
  <c r="E14" i="8" s="1"/>
  <c r="D13" i="8"/>
  <c r="C13" i="8"/>
  <c r="B13" i="8"/>
  <c r="E13" i="8" s="1"/>
  <c r="D12" i="8"/>
  <c r="C12" i="8"/>
  <c r="B12" i="8"/>
  <c r="E12" i="8" s="1"/>
  <c r="D11" i="8"/>
  <c r="C11" i="8"/>
  <c r="B11" i="8"/>
  <c r="E11" i="8" s="1"/>
  <c r="E10" i="8"/>
  <c r="D10" i="8"/>
  <c r="C10" i="8"/>
  <c r="B10" i="8"/>
  <c r="D9" i="8"/>
  <c r="C9" i="8"/>
  <c r="B9" i="8"/>
  <c r="E9" i="8" s="1"/>
  <c r="E8" i="8"/>
  <c r="D8" i="8"/>
  <c r="C8" i="8"/>
  <c r="B8" i="8"/>
  <c r="D7" i="8"/>
  <c r="C7" i="8"/>
  <c r="B7" i="8"/>
  <c r="E7" i="8" s="1"/>
  <c r="D6" i="8"/>
  <c r="C6" i="8"/>
  <c r="B6" i="8"/>
  <c r="E6" i="8" s="1"/>
  <c r="D5" i="8"/>
  <c r="C5" i="8"/>
  <c r="B5" i="8"/>
  <c r="E5" i="8" s="1"/>
  <c r="D4" i="8"/>
  <c r="C4" i="8"/>
  <c r="B4" i="8"/>
  <c r="E4" i="8" s="1"/>
  <c r="E3" i="8"/>
  <c r="D3" i="8"/>
  <c r="C3" i="8"/>
  <c r="B3" i="8"/>
  <c r="D2" i="8"/>
  <c r="C2" i="8"/>
  <c r="B2" i="8"/>
  <c r="E2" i="8" s="1"/>
  <c r="D35" i="6"/>
  <c r="E35" i="6" s="1"/>
  <c r="C35" i="6"/>
  <c r="F34" i="6"/>
  <c r="E34" i="6"/>
  <c r="D34" i="6"/>
  <c r="C34" i="6"/>
  <c r="D33" i="6"/>
  <c r="E33" i="6" s="1"/>
  <c r="C33" i="6"/>
  <c r="D32" i="6"/>
  <c r="C32" i="6"/>
  <c r="E32" i="6" s="1"/>
  <c r="D31" i="6"/>
  <c r="E31" i="6" s="1"/>
  <c r="C31" i="6"/>
  <c r="D30" i="6"/>
  <c r="E30" i="6" s="1"/>
  <c r="C30" i="6"/>
  <c r="D29" i="6"/>
  <c r="E29" i="6" s="1"/>
  <c r="C29" i="6"/>
  <c r="D28" i="6"/>
  <c r="C28" i="6"/>
  <c r="E28" i="6" s="1"/>
  <c r="E27" i="6"/>
  <c r="D27" i="6"/>
  <c r="C27" i="6"/>
  <c r="E26" i="6"/>
  <c r="D26" i="6"/>
  <c r="C26" i="6"/>
  <c r="D25" i="6"/>
  <c r="C25" i="8" s="1"/>
  <c r="C25" i="6"/>
  <c r="B25" i="8" s="1"/>
  <c r="F24" i="6"/>
  <c r="E24" i="6"/>
  <c r="D24" i="6"/>
  <c r="C24" i="6"/>
  <c r="F23" i="6"/>
  <c r="E23" i="6"/>
  <c r="D23" i="6"/>
  <c r="C23" i="6"/>
  <c r="E22" i="6"/>
  <c r="D22" i="6"/>
  <c r="C22" i="6"/>
  <c r="D21" i="6"/>
  <c r="E21" i="6" s="1"/>
  <c r="C21" i="6"/>
  <c r="F20" i="6"/>
  <c r="E20" i="6"/>
  <c r="D20" i="6"/>
  <c r="C20" i="6"/>
  <c r="D19" i="6"/>
  <c r="E19" i="6" s="1"/>
  <c r="C19" i="6"/>
  <c r="D18" i="6"/>
  <c r="E18" i="6" s="1"/>
  <c r="C18" i="6"/>
  <c r="D17" i="6"/>
  <c r="E17" i="6" s="1"/>
  <c r="C17" i="6"/>
  <c r="D16" i="6"/>
  <c r="E16" i="6" s="1"/>
  <c r="C16" i="6"/>
  <c r="D15" i="6"/>
  <c r="E15" i="6" s="1"/>
  <c r="C15" i="6"/>
  <c r="D14" i="6"/>
  <c r="C24" i="8" s="1"/>
  <c r="C14" i="6"/>
  <c r="B24" i="8" s="1"/>
  <c r="E13" i="6"/>
  <c r="D13" i="6"/>
  <c r="C13" i="6"/>
  <c r="E12" i="6"/>
  <c r="F12" i="6" s="1"/>
  <c r="D12" i="6"/>
  <c r="C12" i="6"/>
  <c r="D11" i="6"/>
  <c r="E11" i="6" s="1"/>
  <c r="C11" i="6"/>
  <c r="F10" i="6"/>
  <c r="E10" i="6"/>
  <c r="D10" i="6"/>
  <c r="C10" i="6"/>
  <c r="F9" i="6"/>
  <c r="E9" i="6"/>
  <c r="D9" i="6"/>
  <c r="C9" i="6"/>
  <c r="E8" i="6"/>
  <c r="D8" i="6"/>
  <c r="C8" i="6"/>
  <c r="D7" i="6"/>
  <c r="E7" i="6" s="1"/>
  <c r="C7" i="6"/>
  <c r="F6" i="6"/>
  <c r="E6" i="6"/>
  <c r="D6" i="6"/>
  <c r="C6" i="6"/>
  <c r="D5" i="6"/>
  <c r="E5" i="6" s="1"/>
  <c r="C5" i="6"/>
  <c r="D4" i="6"/>
  <c r="C23" i="8" s="1"/>
  <c r="C4" i="6"/>
  <c r="E17" i="5"/>
  <c r="D17" i="5"/>
  <c r="C17" i="5"/>
  <c r="B17" i="5"/>
  <c r="D16" i="5"/>
  <c r="C16" i="5"/>
  <c r="B16" i="5"/>
  <c r="E16" i="5" s="1"/>
  <c r="E23" i="5" s="1"/>
  <c r="D15" i="5"/>
  <c r="E15" i="5" s="1"/>
  <c r="C15" i="5"/>
  <c r="B15" i="5"/>
  <c r="D14" i="5"/>
  <c r="C14" i="5"/>
  <c r="B14" i="5"/>
  <c r="E14" i="5" s="1"/>
  <c r="E13" i="5"/>
  <c r="D13" i="5"/>
  <c r="C13" i="5"/>
  <c r="B13" i="5"/>
  <c r="D12" i="5"/>
  <c r="C12" i="5"/>
  <c r="B12" i="5"/>
  <c r="E12" i="5" s="1"/>
  <c r="D11" i="5"/>
  <c r="C11" i="5"/>
  <c r="B11" i="5"/>
  <c r="E11" i="5" s="1"/>
  <c r="E10" i="5"/>
  <c r="D10" i="5"/>
  <c r="D18" i="5" s="1"/>
  <c r="C10" i="5"/>
  <c r="C18" i="5" s="1"/>
  <c r="B10" i="5"/>
  <c r="D7" i="5"/>
  <c r="E7" i="5" s="1"/>
  <c r="C7" i="5"/>
  <c r="B7" i="5"/>
  <c r="D6" i="5"/>
  <c r="D8" i="5" s="1"/>
  <c r="C6" i="5"/>
  <c r="C8" i="5" s="1"/>
  <c r="C19" i="5" s="1"/>
  <c r="E5" i="5"/>
  <c r="E22" i="5" s="1"/>
  <c r="D5" i="5"/>
  <c r="C5" i="5"/>
  <c r="B5" i="5"/>
  <c r="D4" i="5"/>
  <c r="C4" i="5"/>
  <c r="B4" i="5"/>
  <c r="B6" i="5" s="1"/>
  <c r="B8" i="5" s="1"/>
  <c r="D8" i="4"/>
  <c r="C8" i="4"/>
  <c r="B8" i="4"/>
  <c r="C6" i="4"/>
  <c r="D5" i="4"/>
  <c r="C5" i="4"/>
  <c r="B5" i="4"/>
  <c r="D4" i="4"/>
  <c r="D9" i="4" s="1"/>
  <c r="D10" i="4" s="1"/>
  <c r="C4" i="4"/>
  <c r="C9" i="4" s="1"/>
  <c r="C10" i="4" s="1"/>
  <c r="B4" i="4"/>
  <c r="B9" i="4" s="1"/>
  <c r="F30" i="3"/>
  <c r="E30" i="3"/>
  <c r="D30" i="3"/>
  <c r="G30" i="3" s="1"/>
  <c r="F29" i="3"/>
  <c r="E29" i="3"/>
  <c r="D29" i="3"/>
  <c r="G29" i="3" s="1"/>
  <c r="F28" i="3"/>
  <c r="E28" i="3"/>
  <c r="D28" i="3"/>
  <c r="G28" i="3" s="1"/>
  <c r="G27" i="3"/>
  <c r="F27" i="3"/>
  <c r="E27" i="3"/>
  <c r="D27" i="3"/>
  <c r="F26" i="3"/>
  <c r="E26" i="3"/>
  <c r="D26" i="3"/>
  <c r="G26" i="3" s="1"/>
  <c r="G25" i="3"/>
  <c r="F25" i="3"/>
  <c r="E25" i="3"/>
  <c r="D25" i="3"/>
  <c r="F24" i="3"/>
  <c r="E24" i="3"/>
  <c r="G24" i="3" s="1"/>
  <c r="D24" i="3"/>
  <c r="F23" i="3"/>
  <c r="E23" i="3"/>
  <c r="D23" i="3"/>
  <c r="G23" i="3" s="1"/>
  <c r="F22" i="3"/>
  <c r="E22" i="3"/>
  <c r="D22" i="3"/>
  <c r="G22" i="3" s="1"/>
  <c r="F21" i="3"/>
  <c r="E21" i="3"/>
  <c r="D21" i="3"/>
  <c r="G21" i="3" s="1"/>
  <c r="F20" i="3"/>
  <c r="G20" i="3" s="1"/>
  <c r="E20" i="3"/>
  <c r="D20" i="3"/>
  <c r="F19" i="3"/>
  <c r="E19" i="3"/>
  <c r="D19" i="3"/>
  <c r="G19" i="3" s="1"/>
  <c r="G18" i="3"/>
  <c r="F18" i="3"/>
  <c r="E18" i="3"/>
  <c r="D18" i="3"/>
  <c r="F17" i="3"/>
  <c r="E17" i="3"/>
  <c r="D17" i="3"/>
  <c r="G17" i="3" s="1"/>
  <c r="F16" i="3"/>
  <c r="E16" i="3"/>
  <c r="D16" i="3"/>
  <c r="G16" i="3" s="1"/>
  <c r="F15" i="3"/>
  <c r="E15" i="3"/>
  <c r="D15" i="3"/>
  <c r="G15" i="3" s="1"/>
  <c r="F14" i="3"/>
  <c r="E14" i="3"/>
  <c r="D14" i="3"/>
  <c r="G14" i="3" s="1"/>
  <c r="F13" i="3"/>
  <c r="G13" i="3" s="1"/>
  <c r="E13" i="3"/>
  <c r="D13" i="3"/>
  <c r="F12" i="3"/>
  <c r="E12" i="3"/>
  <c r="D12" i="3"/>
  <c r="G12" i="3" s="1"/>
  <c r="G11" i="3"/>
  <c r="F11" i="3"/>
  <c r="E11" i="3"/>
  <c r="D11" i="3"/>
  <c r="F10" i="3"/>
  <c r="E10" i="3"/>
  <c r="D10" i="3"/>
  <c r="G10" i="3" s="1"/>
  <c r="F9" i="3"/>
  <c r="E9" i="3"/>
  <c r="D9" i="3"/>
  <c r="G9" i="3" s="1"/>
  <c r="F8" i="3"/>
  <c r="E8" i="3"/>
  <c r="D8" i="3"/>
  <c r="G8" i="3" s="1"/>
  <c r="F7" i="3"/>
  <c r="E7" i="3"/>
  <c r="D7" i="3"/>
  <c r="G7" i="3" s="1"/>
  <c r="F6" i="3"/>
  <c r="G6" i="3" s="1"/>
  <c r="E6" i="3"/>
  <c r="D6" i="3"/>
  <c r="F5" i="3"/>
  <c r="E5" i="3"/>
  <c r="D5" i="3"/>
  <c r="G5" i="3" s="1"/>
  <c r="G4" i="3"/>
  <c r="F4" i="3"/>
  <c r="E4" i="3"/>
  <c r="D4" i="3"/>
  <c r="F31" i="6" l="1"/>
  <c r="E18" i="5"/>
  <c r="E26" i="5" s="1"/>
  <c r="G15" i="6"/>
  <c r="F15" i="6"/>
  <c r="F21" i="6"/>
  <c r="F32" i="6"/>
  <c r="F16" i="6"/>
  <c r="G7" i="6"/>
  <c r="F7" i="6"/>
  <c r="F17" i="6"/>
  <c r="B10" i="4"/>
  <c r="G4" i="7"/>
  <c r="G22" i="6"/>
  <c r="F18" i="6"/>
  <c r="G28" i="6"/>
  <c r="F28" i="6"/>
  <c r="D19" i="5"/>
  <c r="F33" i="6"/>
  <c r="F19" i="6"/>
  <c r="F5" i="6"/>
  <c r="C12" i="4"/>
  <c r="G29" i="6"/>
  <c r="F29" i="6"/>
  <c r="F35" i="6"/>
  <c r="G13" i="6"/>
  <c r="F11" i="6"/>
  <c r="G27" i="6"/>
  <c r="F30" i="6"/>
  <c r="F26" i="6"/>
  <c r="E4" i="6"/>
  <c r="G21" i="6" s="1"/>
  <c r="B18" i="5"/>
  <c r="B19" i="5" s="1"/>
  <c r="B6" i="4"/>
  <c r="B12" i="4" s="1"/>
  <c r="D6" i="4"/>
  <c r="D12" i="4" s="1"/>
  <c r="F13" i="6"/>
  <c r="F27" i="6"/>
  <c r="F8" i="6"/>
  <c r="F22" i="6"/>
  <c r="E25" i="6"/>
  <c r="E14" i="6"/>
  <c r="G26" i="6" s="1"/>
  <c r="E4" i="5"/>
  <c r="E6" i="5" s="1"/>
  <c r="G25" i="6" l="1"/>
  <c r="F25" i="6"/>
  <c r="G33" i="6"/>
  <c r="G14" i="6"/>
  <c r="F14" i="6"/>
  <c r="G11" i="6"/>
  <c r="G16" i="6"/>
  <c r="G35" i="6"/>
  <c r="G32" i="6"/>
  <c r="G18" i="6"/>
  <c r="G5" i="6"/>
  <c r="G24" i="6"/>
  <c r="G10" i="6"/>
  <c r="G4" i="6"/>
  <c r="I4" i="7" s="1"/>
  <c r="F4" i="6"/>
  <c r="G9" i="6"/>
  <c r="G6" i="6"/>
  <c r="G34" i="6"/>
  <c r="G20" i="6"/>
  <c r="G23" i="6"/>
  <c r="G12" i="6"/>
  <c r="G19" i="6"/>
  <c r="G17" i="6"/>
  <c r="G31" i="6"/>
  <c r="E25" i="5"/>
  <c r="E8" i="5"/>
  <c r="E19" i="5" s="1"/>
  <c r="G30" i="6"/>
  <c r="G8" i="6"/>
  <c r="E28" i="5" l="1"/>
  <c r="A4" i="7"/>
  <c r="E4" i="7" l="1"/>
  <c r="C4" i="7"/>
</calcChain>
</file>

<file path=xl/sharedStrings.xml><?xml version="1.0" encoding="utf-8"?>
<sst xmlns="http://schemas.openxmlformats.org/spreadsheetml/2006/main" count="19601" uniqueCount="1089">
  <si>
    <t>Pauseiro &amp; Vance Legal Group — Executive Dashboard — 2025-06</t>
  </si>
  <si>
    <t>Group Revenue (Net)</t>
  </si>
  <si>
    <t>Group Operating Income</t>
  </si>
  <si>
    <t>Group Operating Margin</t>
  </si>
  <si>
    <t>Open Bank Reconciling Items</t>
  </si>
  <si>
    <t>Largest Budget Overspend</t>
  </si>
  <si>
    <t>Pauseiro &amp; Vance Legal Group — Multi-Office Consolidation Model</t>
  </si>
  <si>
    <t>What this is</t>
  </si>
  <si>
    <t>A synthetic 3-office professional-services group (P&amp;V Miami [Group HQ], P&amp;V Chicago, P&amp;V Dallas) with 18 months of GL, bank statement and budget data (Jan 2024 - Jun 2025), built as a portfolio piece for accounting / audit / controlling / FP&amp;A roles.</t>
  </si>
  <si>
    <t>How the tabs fit together</t>
  </si>
  <si>
    <t>PQ_* tabs  -  raw data as Power Query would land it after combining the 3 offices' source exports (see power_query_steps.md for the M code). Nothing upstream of these tabs is manual.</t>
  </si>
  <si>
    <t>Close_Checklist  -  the month-end close task list for the open period (Jun 2025), so the workbook reads like an active close, not just a finished model.</t>
  </si>
  <si>
    <t>Trial_Balance  -  net movement by account, by entity and combined, for the open month. Every number is a live SUMIFS against PQ_GL_Data.</t>
  </si>
  <si>
    <t>Bank_Reconciliation  -  book-to-bank tie-out per entity: book balance + unrecorded bank items = adjusted book balance; bank balance + outstanding items = adjusted bank balance. The two adjusted figures agree, which is the point of a bank rec.</t>
  </si>
  <si>
    <t>Consolidation  -  Group P&amp;L: each office's numbers, the combined total, and the intercompany elimination for the HQ shared-services billing, with a note on why operating income doesn't move even though revenue and expense both shrink.</t>
  </si>
  <si>
    <t>Budget_vs_Actual  -  variance by entity/account for the open month, flagged and ranked.</t>
  </si>
  <si>
    <t>What it's built to demonstrate</t>
  </si>
  <si>
    <t>Accounting / audit / controlling / FP&amp;A: a full close cycle (accruals, reconciliations, variance review, period lock) across a multi-entity structure.</t>
  </si>
  <si>
    <t>Reconciliations, month-end close &amp; consolidation: Bank_Reconciliation and Consolidation tabs, plus the Close_Checklist that sequences the work.</t>
  </si>
  <si>
    <t>SQL - joins, aggregations, window functions, CTEs: see queries.sql, run against firm_finance.db (10 queries, each tested and returning results).</t>
  </si>
  <si>
    <t>Advanced Excel incl. Power Query: this workbook - SUMIFS/structured references, Tables, conditional formatting, native charts; ETL steps documented in power_query_steps.md.</t>
  </si>
  <si>
    <t>Data modeling - grain, keys, fact &amp; dimension tables: schema.sql, with the grain and keys of every fact table documented inline.</t>
  </si>
  <si>
    <t>Month-End Close Checklist — 2025-06 (Group)</t>
  </si>
  <si>
    <t>#</t>
  </si>
  <si>
    <t>Close Task</t>
  </si>
  <si>
    <t>Entity Scope</t>
  </si>
  <si>
    <t>Owner</t>
  </si>
  <si>
    <t>Due (business day)</t>
  </si>
  <si>
    <t>Status</t>
  </si>
  <si>
    <t>Post final billing &amp; cash receipts</t>
  </si>
  <si>
    <t>All entities</t>
  </si>
  <si>
    <t>Office Bookkeeper</t>
  </si>
  <si>
    <t>BD+2</t>
  </si>
  <si>
    <t>Complete</t>
  </si>
  <si>
    <t>Reverse prior-month payroll accrual</t>
  </si>
  <si>
    <t>Controller</t>
  </si>
  <si>
    <t>BD+1</t>
  </si>
  <si>
    <t>Run payroll &amp; book current accrual</t>
  </si>
  <si>
    <t>BD+3</t>
  </si>
  <si>
    <t>Amortize prepaid insurance</t>
  </si>
  <si>
    <t>Book monthly depreciation</t>
  </si>
  <si>
    <t>Bill intercompany shared services (HQ to branches)</t>
  </si>
  <si>
    <t>MIA -&gt; CHI, DAL</t>
  </si>
  <si>
    <t>BD+4</t>
  </si>
  <si>
    <t>Settle prior-month intercompany balances</t>
  </si>
  <si>
    <t>CHI, DAL -&gt; MIA</t>
  </si>
  <si>
    <t>BD+5</t>
  </si>
  <si>
    <t>Complete bank reconciliation, all accounts</t>
  </si>
  <si>
    <t>In Progress</t>
  </si>
  <si>
    <t>Book bank-identified items not yet in GL (fees, interest)</t>
  </si>
  <si>
    <t>Not Started</t>
  </si>
  <si>
    <t>Reconcile intercompany AR/AP between entities</t>
  </si>
  <si>
    <t>MIA, CHI, DAL</t>
  </si>
  <si>
    <t>Group Controller</t>
  </si>
  <si>
    <t>BD+6</t>
  </si>
  <si>
    <t>Prepare consolidation elimination entries</t>
  </si>
  <si>
    <t>Group</t>
  </si>
  <si>
    <t>Review budget-vs-actual variances &gt;10%</t>
  </si>
  <si>
    <t>FP&amp;A</t>
  </si>
  <si>
    <t>BD+7</t>
  </si>
  <si>
    <t>Blocked</t>
  </si>
  <si>
    <t>Partner review of Group P&amp;L &amp; KPI dashboard</t>
  </si>
  <si>
    <t>Managing Partner</t>
  </si>
  <si>
    <t>BD+8</t>
  </si>
  <si>
    <t>Lock GL period</t>
  </si>
  <si>
    <t>BD+9</t>
  </si>
  <si>
    <t>Distribute close package</t>
  </si>
  <si>
    <t>Note: "Blocked" - budget-vs-actual review is waiting on the shared-services allocation reconciliation (task 10) to close first.</t>
  </si>
  <si>
    <t>Trial Balance — Net Movement by Account — 2025-06</t>
  </si>
  <si>
    <t>Account Code</t>
  </si>
  <si>
    <t>Account Name</t>
  </si>
  <si>
    <t>Account Type</t>
  </si>
  <si>
    <t>MIA</t>
  </si>
  <si>
    <t>CHI</t>
  </si>
  <si>
    <t>DAL</t>
  </si>
  <si>
    <t>Combined</t>
  </si>
  <si>
    <t>1000</t>
  </si>
  <si>
    <t>Cash - Operating</t>
  </si>
  <si>
    <t>Asset</t>
  </si>
  <si>
    <t>1100</t>
  </si>
  <si>
    <t>Accounts Receivable</t>
  </si>
  <si>
    <t>1200</t>
  </si>
  <si>
    <t>Prepaid Expenses</t>
  </si>
  <si>
    <t>1300</t>
  </si>
  <si>
    <t>Intercompany Receivable</t>
  </si>
  <si>
    <t>1500</t>
  </si>
  <si>
    <t>Fixed Assets, Net</t>
  </si>
  <si>
    <t>2000</t>
  </si>
  <si>
    <t>Accounts Payable</t>
  </si>
  <si>
    <t>Liability</t>
  </si>
  <si>
    <t>2100</t>
  </si>
  <si>
    <t>Accrued Payroll</t>
  </si>
  <si>
    <t>2200</t>
  </si>
  <si>
    <t>Intercompany Payable</t>
  </si>
  <si>
    <t>3000</t>
  </si>
  <si>
    <t>Owner's Equity / Retained Earnings</t>
  </si>
  <si>
    <t>Equity</t>
  </si>
  <si>
    <t>4000</t>
  </si>
  <si>
    <t>Legal Fee Revenue</t>
  </si>
  <si>
    <t>Revenue</t>
  </si>
  <si>
    <t>4010</t>
  </si>
  <si>
    <t>Litigation Fees</t>
  </si>
  <si>
    <t>4020</t>
  </si>
  <si>
    <t>Corporate &amp; Transactional Fees</t>
  </si>
  <si>
    <t>4030</t>
  </si>
  <si>
    <t>Family Law Fees</t>
  </si>
  <si>
    <t>4090</t>
  </si>
  <si>
    <t>Intercompany Shared Services Revenue</t>
  </si>
  <si>
    <t>5000</t>
  </si>
  <si>
    <t>Direct Case Costs</t>
  </si>
  <si>
    <t>COGS</t>
  </si>
  <si>
    <t>5010</t>
  </si>
  <si>
    <t>Court Filing Fees</t>
  </si>
  <si>
    <t>5020</t>
  </si>
  <si>
    <t>Expert Witness Fees</t>
  </si>
  <si>
    <t>6000</t>
  </si>
  <si>
    <t>Operating Expenses</t>
  </si>
  <si>
    <t>Opex</t>
  </si>
  <si>
    <t>6010</t>
  </si>
  <si>
    <t>Attorney &amp; Staff Payroll</t>
  </si>
  <si>
    <t>6020</t>
  </si>
  <si>
    <t>Payroll Taxes &amp; Benefits</t>
  </si>
  <si>
    <t>6030</t>
  </si>
  <si>
    <t>Office Rent</t>
  </si>
  <si>
    <t>6040</t>
  </si>
  <si>
    <t>Marketing &amp; Business Development</t>
  </si>
  <si>
    <t>6050</t>
  </si>
  <si>
    <t>Professional Insurance</t>
  </si>
  <si>
    <t>6060</t>
  </si>
  <si>
    <t>Software &amp; IT</t>
  </si>
  <si>
    <t>6070</t>
  </si>
  <si>
    <t>Shared Services Allocation (Intercompany)</t>
  </si>
  <si>
    <t>7000</t>
  </si>
  <si>
    <t>Depreciation Expense</t>
  </si>
  <si>
    <t>8000</t>
  </si>
  <si>
    <t>Interest Expense</t>
  </si>
  <si>
    <t>Bank Reconciliation — Cash Account — 2025-06</t>
  </si>
  <si>
    <t>Line Item</t>
  </si>
  <si>
    <t>Book Cash Movement (per GL, account 1000)</t>
  </si>
  <si>
    <t>Add: Bank-identified items not yet booked (fees, interest)</t>
  </si>
  <si>
    <t>Adjusted Book Balance</t>
  </si>
  <si>
    <t>Bank Statement Movement</t>
  </si>
  <si>
    <t>Add: Outstanding items (book not yet cleared bank)</t>
  </si>
  <si>
    <t>Adjusted Bank Balance</t>
  </si>
  <si>
    <t>Difference (Adjusted Book − Adjusted Bank)</t>
  </si>
  <si>
    <t>Group Consolidation — P&amp;L — 2025-06</t>
  </si>
  <si>
    <t>External Legal Fee Revenue</t>
  </si>
  <si>
    <t>Total Revenue (Gross)</t>
  </si>
  <si>
    <t>Direct Case Costs (COGS)</t>
  </si>
  <si>
    <t>Gross Profit</t>
  </si>
  <si>
    <t>Total Operating Expenses (Gross)</t>
  </si>
  <si>
    <t>Operating Income (Combined, Pre-Elimination)</t>
  </si>
  <si>
    <t>Consolidation Adjustments</t>
  </si>
  <si>
    <t>Eliminate: Intercompany Shared Services Revenue</t>
  </si>
  <si>
    <t>Eliminate: Intercompany Shared Services Allocation</t>
  </si>
  <si>
    <t>Total Revenue (Net of Eliminations)</t>
  </si>
  <si>
    <t>Total Operating Expenses (Net of Eliminations)</t>
  </si>
  <si>
    <t>Operating Income (Group, Consolidated)</t>
  </si>
  <si>
    <t>Note: eliminating the intercompany shared-services billing reduces both Group revenue and Group operating expense by the same amount, so it does not change Operating Income - there is no markup on the intercompany charge. The elimination still matters: without it, Group revenue and expense are both overstated, which misleads any margin-% or expense-ratio analysis.</t>
  </si>
  <si>
    <t>Budget vs. Actual — 2025-06</t>
  </si>
  <si>
    <t>Entity</t>
  </si>
  <si>
    <t>Account</t>
  </si>
  <si>
    <t>Budget</t>
  </si>
  <si>
    <t>Actual</t>
  </si>
  <si>
    <t>Variance (Actual - Budget)</t>
  </si>
  <si>
    <t>% Variance</t>
  </si>
  <si>
    <t>Overspend Rank</t>
  </si>
  <si>
    <t>4010 Litigation Fees</t>
  </si>
  <si>
    <t>4020 Corporate &amp; Transactional Fees</t>
  </si>
  <si>
    <t>4030 Family Law Fees</t>
  </si>
  <si>
    <t>6010 Attorney &amp; Staff Payroll</t>
  </si>
  <si>
    <t>6020 Payroll Taxes &amp; Benefits</t>
  </si>
  <si>
    <t>6030 Office Rent</t>
  </si>
  <si>
    <t>6040 Marketing &amp; Business Development</t>
  </si>
  <si>
    <t>6050 Professional Insurance</t>
  </si>
  <si>
    <t>6060 Software &amp; IT</t>
  </si>
  <si>
    <t>7000 Depreciation Expense</t>
  </si>
  <si>
    <t>6070 Shared Services Allocation (Intercompany)</t>
  </si>
  <si>
    <t>Month</t>
  </si>
  <si>
    <t>MIA Revenue</t>
  </si>
  <si>
    <t>CHI Revenue</t>
  </si>
  <si>
    <t>DAL Revenue</t>
  </si>
  <si>
    <t>Group Revenue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</si>
  <si>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</si>
  <si>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</si>
  <si>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</si>
  <si>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</si>
  <si>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</si>
  <si>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</si>
  <si>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</si>
  <si>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</si>
  <si>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</si>
  <si>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</si>
  <si>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</si>
  <si>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</si>
  <si>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</si>
  <si>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</si>
  <si>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</si>
  <si>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</si>
  <si>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</si>
  <si>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</si>
  <si>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Total Budget (COGS+Opex)</t>
  </si>
  <si>
    <t>Total Actual (COGS+Opex)</t>
  </si>
  <si>
    <t>TxnID</t>
  </si>
  <si>
    <t>JournalID</t>
  </si>
  <si>
    <t>EntityCode</t>
  </si>
  <si>
    <t>Date</t>
  </si>
  <si>
    <t>AccountCode</t>
  </si>
  <si>
    <t>AccountName</t>
  </si>
  <si>
    <t>AccountType</t>
  </si>
  <si>
    <t>IsIntercompany</t>
  </si>
  <si>
    <t>Debit</t>
  </si>
  <si>
    <t>Credit</t>
  </si>
  <si>
    <t>Description</t>
  </si>
  <si>
    <t>Source</t>
  </si>
  <si>
    <t>CounterpartyEntity</t>
  </si>
  <si>
    <t>MonthKey</t>
  </si>
  <si>
    <t>2024-01-12</t>
  </si>
  <si>
    <t>No</t>
  </si>
  <si>
    <t>MIA legal fees billed - 2024-01</t>
  </si>
  <si>
    <t>Billing</t>
  </si>
  <si>
    <t>2024-01-24</t>
  </si>
  <si>
    <t>MIA client fee collections - 2024-01</t>
  </si>
  <si>
    <t>Cash Receipt</t>
  </si>
  <si>
    <t>2024-01-15</t>
  </si>
  <si>
    <t>MIA direct case costs - 2024-01</t>
  </si>
  <si>
    <t>AP/Cash</t>
  </si>
  <si>
    <t>2024-01-29</t>
  </si>
  <si>
    <t>MIA payroll run - 2024-01</t>
  </si>
  <si>
    <t>Payroll</t>
  </si>
  <si>
    <t>2024-01-01</t>
  </si>
  <si>
    <t>MIA office rent - 2024-01</t>
  </si>
  <si>
    <t>Cash</t>
  </si>
  <si>
    <t>2024-01-18</t>
  </si>
  <si>
    <t>MIA marketing spend - 2024-01</t>
  </si>
  <si>
    <t>MIA malpractice insurance amortization - 2024-01</t>
  </si>
  <si>
    <t>Prepaid Amort</t>
  </si>
  <si>
    <t>2024-01-09</t>
  </si>
  <si>
    <t>MIA software &amp; IT subscriptions - 2024-01</t>
  </si>
  <si>
    <t>2024-01-31</t>
  </si>
  <si>
    <t>MIA monthly depreciation - 2024-01</t>
  </si>
  <si>
    <t>Adjusting Entry</t>
  </si>
  <si>
    <t>CHI legal fees billed - 2024-01</t>
  </si>
  <si>
    <t>CHI client fee collections - 2024-01</t>
  </si>
  <si>
    <t>CHI direct case costs - 2024-01</t>
  </si>
  <si>
    <t>CHI payroll run - 2024-01</t>
  </si>
  <si>
    <t>CHI office rent - 2024-01</t>
  </si>
  <si>
    <t>CHI marketing spend - 2024-01</t>
  </si>
  <si>
    <t>CHI malpractice insurance amortization - 2024-01</t>
  </si>
  <si>
    <t>CHI software &amp; IT subscriptions - 2024-01</t>
  </si>
  <si>
    <t>CHI monthly depreciation - 2024-01</t>
  </si>
  <si>
    <t>DAL legal fees billed - 2024-01</t>
  </si>
  <si>
    <t>DAL client fee collections - 2024-01</t>
  </si>
  <si>
    <t>DAL direct case costs - 2024-01</t>
  </si>
  <si>
    <t>DAL payroll run - 2024-01</t>
  </si>
  <si>
    <t>DAL office rent - 2024-01</t>
  </si>
  <si>
    <t>DAL marketing spend - 2024-01</t>
  </si>
  <si>
    <t>DAL malpractice insurance amortization - 2024-01</t>
  </si>
  <si>
    <t>DAL software &amp; IT subscriptions - 2024-01</t>
  </si>
  <si>
    <t>DAL monthly depreciation - 2024-01</t>
  </si>
  <si>
    <t>2024-01-22</t>
  </si>
  <si>
    <t>Yes</t>
  </si>
  <si>
    <t>Shared services billed to branch 2 - 2024-01</t>
  </si>
  <si>
    <t>Intercompany</t>
  </si>
  <si>
    <t>Shared services allocation from HQ - 2024-01</t>
  </si>
  <si>
    <t>Shared services billed to branch 3 - 2024-01</t>
  </si>
  <si>
    <t>2024-02-12</t>
  </si>
  <si>
    <t>MIA legal fees billed - 2024-02</t>
  </si>
  <si>
    <t>2024-02-26</t>
  </si>
  <si>
    <t>MIA client fee collections - 2024-02</t>
  </si>
  <si>
    <t>2024-02-15</t>
  </si>
  <si>
    <t>MIA direct case costs - 2024-02</t>
  </si>
  <si>
    <t>2024-02-28</t>
  </si>
  <si>
    <t>MIA payroll run - 2024-02</t>
  </si>
  <si>
    <t>2024-02-01</t>
  </si>
  <si>
    <t>MIA office rent - 2024-02</t>
  </si>
  <si>
    <t>2024-02-19</t>
  </si>
  <si>
    <t>MIA marketing spend - 2024-02</t>
  </si>
  <si>
    <t>MIA malpractice insurance amortization - 2024-02</t>
  </si>
  <si>
    <t>2024-02-09</t>
  </si>
  <si>
    <t>MIA software &amp; IT subscriptions - 2024-02</t>
  </si>
  <si>
    <t>2024-02-29</t>
  </si>
  <si>
    <t>MIA monthly depreciation - 2024-02</t>
  </si>
  <si>
    <t>2024-02-05</t>
  </si>
  <si>
    <t>MIA AP payment run (prior month invoices) - 2024-02</t>
  </si>
  <si>
    <t>CHI legal fees billed - 2024-02</t>
  </si>
  <si>
    <t>CHI client fee collections - 2024-02</t>
  </si>
  <si>
    <t>CHI direct case costs - 2024-02</t>
  </si>
  <si>
    <t>CHI payroll run - 2024-02</t>
  </si>
  <si>
    <t>CHI office rent - 2024-02</t>
  </si>
  <si>
    <t>CHI marketing spend - 2024-02</t>
  </si>
  <si>
    <t>CHI malpractice insurance amortization - 2024-02</t>
  </si>
  <si>
    <t>CHI software &amp; IT subscriptions - 2024-02</t>
  </si>
  <si>
    <t>CHI monthly depreciation - 2024-02</t>
  </si>
  <si>
    <t>CHI AP payment run (prior month invoices) - 2024-02</t>
  </si>
  <si>
    <t>DAL legal fees billed - 2024-02</t>
  </si>
  <si>
    <t>DAL client fee collections - 2024-02</t>
  </si>
  <si>
    <t>DAL direct case costs - 2024-02</t>
  </si>
  <si>
    <t>DAL payroll run - 2024-02</t>
  </si>
  <si>
    <t>DAL office rent - 2024-02</t>
  </si>
  <si>
    <t>DAL marketing spend - 2024-02</t>
  </si>
  <si>
    <t>DAL malpractice insurance amortization - 2024-02</t>
  </si>
  <si>
    <t>DAL software &amp; IT subscriptions - 2024-02</t>
  </si>
  <si>
    <t>DAL monthly depreciation - 2024-02</t>
  </si>
  <si>
    <t>DAL AP payment run (prior month invoices) - 2024-02</t>
  </si>
  <si>
    <t>2024-02-20</t>
  </si>
  <si>
    <t>Shared services billed to branch 2 - 2024-02</t>
  </si>
  <si>
    <t>Shared services allocation from HQ - 2024-02</t>
  </si>
  <si>
    <t>Intercompany settlement paid to HQ - 2024-02</t>
  </si>
  <si>
    <t>Intercompany Cash</t>
  </si>
  <si>
    <t>Intercompany settlement received from branch 2 - 2024-02</t>
  </si>
  <si>
    <t>Shared services billed to branch 3 - 2024-02</t>
  </si>
  <si>
    <t>Intercompany settlement received from branch 3 - 2024-02</t>
  </si>
  <si>
    <t>2024-03-12</t>
  </si>
  <si>
    <t>MIA legal fees billed - 2024-03</t>
  </si>
  <si>
    <t>2024-03-25</t>
  </si>
  <si>
    <t>MIA client fee collections - 2024-03</t>
  </si>
  <si>
    <t>2024-03-15</t>
  </si>
  <si>
    <t>MIA direct case costs - 2024-03</t>
  </si>
  <si>
    <t>2024-03-28</t>
  </si>
  <si>
    <t>MIA payroll run - 2024-03</t>
  </si>
  <si>
    <t>2024-03-01</t>
  </si>
  <si>
    <t>MIA office rent - 2024-03</t>
  </si>
  <si>
    <t>2024-03-18</t>
  </si>
  <si>
    <t>MIA marketing spend - 2024-03</t>
  </si>
  <si>
    <t>MIA malpractice insurance amortization - 2024-03</t>
  </si>
  <si>
    <t>2024-03-11</t>
  </si>
  <si>
    <t>MIA software &amp; IT subscriptions - 2024-03</t>
  </si>
  <si>
    <t>2024-03-31</t>
  </si>
  <si>
    <t>MIA monthly depreciation - 2024-03</t>
  </si>
  <si>
    <t>2024-03-05</t>
  </si>
  <si>
    <t>MIA AP payment run (prior month invoices) - 2024-03</t>
  </si>
  <si>
    <t>CHI legal fees billed - 2024-03</t>
  </si>
  <si>
    <t>CHI client fee collections - 2024-03</t>
  </si>
  <si>
    <t>CHI direct case costs - 2024-03</t>
  </si>
  <si>
    <t>CHI payroll run - 2024-03</t>
  </si>
  <si>
    <t>CHI office rent - 2024-03</t>
  </si>
  <si>
    <t>CHI marketing spend - 2024-03</t>
  </si>
  <si>
    <t>CHI malpractice insurance amortization - 2024-03</t>
  </si>
  <si>
    <t>CHI software &amp; IT subscriptions - 2024-03</t>
  </si>
  <si>
    <t>CHI monthly depreciation - 2024-03</t>
  </si>
  <si>
    <t>CHI AP payment run (prior month invoices) - 2024-03</t>
  </si>
  <si>
    <t>DAL legal fees billed - 2024-03</t>
  </si>
  <si>
    <t>DAL client fee collections - 2024-03</t>
  </si>
  <si>
    <t>DAL direct case costs - 2024-03</t>
  </si>
  <si>
    <t>DAL payroll run - 2024-03</t>
  </si>
  <si>
    <t>DAL office rent - 2024-03</t>
  </si>
  <si>
    <t>DAL marketing spend - 2024-03</t>
  </si>
  <si>
    <t>DAL malpractice insurance amortization - 2024-03</t>
  </si>
  <si>
    <t>DAL software &amp; IT subscriptions - 2024-03</t>
  </si>
  <si>
    <t>DAL monthly depreciation - 2024-03</t>
  </si>
  <si>
    <t>DAL AP payment run (prior month invoices) - 2024-03</t>
  </si>
  <si>
    <t>2024-03-20</t>
  </si>
  <si>
    <t>Shared services billed to branch 2 - 2024-03</t>
  </si>
  <si>
    <t>Shared services allocation from HQ - 2024-03</t>
  </si>
  <si>
    <t>Intercompany settlement paid to HQ - 2024-03</t>
  </si>
  <si>
    <t>Intercompany settlement received from branch 2 - 2024-03</t>
  </si>
  <si>
    <t>Shared services billed to branch 3 - 2024-03</t>
  </si>
  <si>
    <t>Intercompany settlement received from branch 3 - 2024-03</t>
  </si>
  <si>
    <t>2024-04-12</t>
  </si>
  <si>
    <t>MIA legal fees billed - 2024-04</t>
  </si>
  <si>
    <t>2024-04-24</t>
  </si>
  <si>
    <t>MIA client fee collections - 2024-04</t>
  </si>
  <si>
    <t>2024-04-15</t>
  </si>
  <si>
    <t>MIA direct case costs - 2024-04</t>
  </si>
  <si>
    <t>2024-04-29</t>
  </si>
  <si>
    <t>MIA payroll run - 2024-04</t>
  </si>
  <si>
    <t>2024-04-01</t>
  </si>
  <si>
    <t>MIA office rent - 2024-04</t>
  </si>
  <si>
    <t>2024-04-18</t>
  </si>
  <si>
    <t>MIA marketing spend - 2024-04</t>
  </si>
  <si>
    <t>MIA malpractice insurance amortization - 2024-04</t>
  </si>
  <si>
    <t>2024-04-09</t>
  </si>
  <si>
    <t>MIA software &amp; IT subscriptions - 2024-04</t>
  </si>
  <si>
    <t>2024-04-30</t>
  </si>
  <si>
    <t>MIA monthly depreciation - 2024-04</t>
  </si>
  <si>
    <t>2024-04-05</t>
  </si>
  <si>
    <t>MIA AP payment run (prior month invoices) - 2024-04</t>
  </si>
  <si>
    <t>CHI legal fees billed - 2024-04</t>
  </si>
  <si>
    <t>CHI client fee collections - 2024-04</t>
  </si>
  <si>
    <t>CHI direct case costs - 2024-04</t>
  </si>
  <si>
    <t>CHI payroll run - 2024-04</t>
  </si>
  <si>
    <t>CHI office rent - 2024-04</t>
  </si>
  <si>
    <t>CHI marketing spend - 2024-04</t>
  </si>
  <si>
    <t>CHI malpractice insurance amortization - 2024-04</t>
  </si>
  <si>
    <t>CHI software &amp; IT subscriptions - 2024-04</t>
  </si>
  <si>
    <t>CHI monthly depreciation - 2024-04</t>
  </si>
  <si>
    <t>CHI AP payment run (prior month invoices) - 2024-04</t>
  </si>
  <si>
    <t>DAL legal fees billed - 2024-04</t>
  </si>
  <si>
    <t>DAL client fee collections - 2024-04</t>
  </si>
  <si>
    <t>DAL direct case costs - 2024-04</t>
  </si>
  <si>
    <t>DAL payroll run - 2024-04</t>
  </si>
  <si>
    <t>DAL office rent - 2024-04</t>
  </si>
  <si>
    <t>DAL marketing spend - 2024-04</t>
  </si>
  <si>
    <t>DAL malpractice insurance amortization - 2024-04</t>
  </si>
  <si>
    <t>DAL software &amp; IT subscriptions - 2024-04</t>
  </si>
  <si>
    <t>DAL monthly depreciation - 2024-04</t>
  </si>
  <si>
    <t>DAL AP payment run (prior month invoices) - 2024-04</t>
  </si>
  <si>
    <t>2024-04-22</t>
  </si>
  <si>
    <t>Shared services billed to branch 2 - 2024-04</t>
  </si>
  <si>
    <t>Shared services allocation from HQ - 2024-04</t>
  </si>
  <si>
    <t>2024-04-25</t>
  </si>
  <si>
    <t>Intercompany settlement paid to HQ - 2024-04</t>
  </si>
  <si>
    <t>Intercompany settlement received from branch 2 - 2024-04</t>
  </si>
  <si>
    <t>Shared services billed to branch 3 - 2024-04</t>
  </si>
  <si>
    <t>Intercompany settlement received from branch 3 - 2024-04</t>
  </si>
  <si>
    <t>2024-05-13</t>
  </si>
  <si>
    <t>MIA legal fees billed - 2024-05</t>
  </si>
  <si>
    <t>2024-05-24</t>
  </si>
  <si>
    <t>MIA client fee collections - 2024-05</t>
  </si>
  <si>
    <t>2024-05-15</t>
  </si>
  <si>
    <t>MIA direct case costs - 2024-05</t>
  </si>
  <si>
    <t>2024-05-28</t>
  </si>
  <si>
    <t>MIA payroll run - 2024-05</t>
  </si>
  <si>
    <t>2024-05-01</t>
  </si>
  <si>
    <t>MIA office rent - 2024-05</t>
  </si>
  <si>
    <t>2024-05-20</t>
  </si>
  <si>
    <t>MIA marketing spend - 2024-05</t>
  </si>
  <si>
    <t>MIA malpractice insurance amortization - 2024-05</t>
  </si>
  <si>
    <t>2024-05-09</t>
  </si>
  <si>
    <t>MIA software &amp; IT subscriptions - 2024-05</t>
  </si>
  <si>
    <t>2024-05-31</t>
  </si>
  <si>
    <t>MIA monthly depreciation - 2024-05</t>
  </si>
  <si>
    <t>2024-05-06</t>
  </si>
  <si>
    <t>MIA AP payment run (prior month invoices) - 2024-05</t>
  </si>
  <si>
    <t>CHI legal fees billed - 2024-05</t>
  </si>
  <si>
    <t>CHI client fee collections - 2024-05</t>
  </si>
  <si>
    <t>CHI direct case costs - 2024-05</t>
  </si>
  <si>
    <t>CHI payroll run - 2024-05</t>
  </si>
  <si>
    <t>CHI office rent - 2024-05</t>
  </si>
  <si>
    <t>CHI marketing spend - 2024-05</t>
  </si>
  <si>
    <t>CHI malpractice insurance amortization - 2024-05</t>
  </si>
  <si>
    <t>CHI software &amp; IT subscriptions - 2024-05</t>
  </si>
  <si>
    <t>CHI monthly depreciation - 2024-05</t>
  </si>
  <si>
    <t>CHI AP payment run (prior month invoices) - 2024-05</t>
  </si>
  <si>
    <t>DAL legal fees billed - 2024-05</t>
  </si>
  <si>
    <t>DAL client fee collections - 2024-05</t>
  </si>
  <si>
    <t>DAL direct case costs - 2024-05</t>
  </si>
  <si>
    <t>DAL payroll run - 2024-05</t>
  </si>
  <si>
    <t>DAL office rent - 2024-05</t>
  </si>
  <si>
    <t>DAL marketing spend - 2024-05</t>
  </si>
  <si>
    <t>DAL malpractice insurance amortization - 2024-05</t>
  </si>
  <si>
    <t>DAL software &amp; IT subscriptions - 2024-05</t>
  </si>
  <si>
    <t>DAL monthly depreciation - 2024-05</t>
  </si>
  <si>
    <t>DAL AP payment run (prior month invoices) - 2024-05</t>
  </si>
  <si>
    <t>Shared services billed to branch 2 - 2024-05</t>
  </si>
  <si>
    <t>Shared services allocation from HQ - 2024-05</t>
  </si>
  <si>
    <t>2024-05-27</t>
  </si>
  <si>
    <t>Intercompany settlement paid to HQ - 2024-05</t>
  </si>
  <si>
    <t>Intercompany settlement received from branch 2 - 2024-05</t>
  </si>
  <si>
    <t>Shared services billed to branch 3 - 2024-05</t>
  </si>
  <si>
    <t>Intercompany settlement received from branch 3 - 2024-05</t>
  </si>
  <si>
    <t>2024-06-12</t>
  </si>
  <si>
    <t>MIA legal fees billed - 2024-06</t>
  </si>
  <si>
    <t>2024-06-24</t>
  </si>
  <si>
    <t>MIA client fee collections - 2024-06</t>
  </si>
  <si>
    <t>2024-06-17</t>
  </si>
  <si>
    <t>MIA direct case costs - 2024-06</t>
  </si>
  <si>
    <t>2024-06-28</t>
  </si>
  <si>
    <t>MIA payroll run - 2024-06</t>
  </si>
  <si>
    <t>2024-06-03</t>
  </si>
  <si>
    <t>MIA office rent - 2024-06</t>
  </si>
  <si>
    <t>2024-06-18</t>
  </si>
  <si>
    <t>MIA marketing spend - 2024-06</t>
  </si>
  <si>
    <t>MIA malpractice insurance amortization - 2024-06</t>
  </si>
  <si>
    <t>2024-06-10</t>
  </si>
  <si>
    <t>MIA software &amp; IT subscriptions - 2024-06</t>
  </si>
  <si>
    <t>2024-06-30</t>
  </si>
  <si>
    <t>MIA monthly depreciation - 2024-06</t>
  </si>
  <si>
    <t>2024-06-05</t>
  </si>
  <si>
    <t>MIA AP payment run (prior month invoices) - 2024-06</t>
  </si>
  <si>
    <t>CHI legal fees billed - 2024-06</t>
  </si>
  <si>
    <t>CHI client fee collections - 2024-06</t>
  </si>
  <si>
    <t>CHI direct case costs - 2024-06</t>
  </si>
  <si>
    <t>CHI payroll run - 2024-06</t>
  </si>
  <si>
    <t>CHI office rent - 2024-06</t>
  </si>
  <si>
    <t>CHI marketing spend - 2024-06</t>
  </si>
  <si>
    <t>CHI malpractice insurance amortization - 2024-06</t>
  </si>
  <si>
    <t>CHI software &amp; IT subscriptions - 2024-06</t>
  </si>
  <si>
    <t>CHI monthly depreciation - 2024-06</t>
  </si>
  <si>
    <t>CHI AP payment run (prior month invoices) - 2024-06</t>
  </si>
  <si>
    <t>DAL legal fees billed - 2024-06</t>
  </si>
  <si>
    <t>DAL client fee collections - 2024-06</t>
  </si>
  <si>
    <t>DAL direct case costs - 2024-06</t>
  </si>
  <si>
    <t>DAL payroll run - 2024-06</t>
  </si>
  <si>
    <t>DAL office rent - 2024-06</t>
  </si>
  <si>
    <t>DAL marketing spend - 2024-06</t>
  </si>
  <si>
    <t>DAL malpractice insurance amortization - 2024-06</t>
  </si>
  <si>
    <t>DAL software &amp; IT subscriptions - 2024-06</t>
  </si>
  <si>
    <t>DAL monthly depreciation - 2024-06</t>
  </si>
  <si>
    <t>DAL AP payment run (prior month invoices) - 2024-06</t>
  </si>
  <si>
    <t>2024-06-20</t>
  </si>
  <si>
    <t>Shared services billed to branch 2 - 2024-06</t>
  </si>
  <si>
    <t>Shared services allocation from HQ - 2024-06</t>
  </si>
  <si>
    <t>2024-06-25</t>
  </si>
  <si>
    <t>Intercompany settlement paid to HQ - 2024-06</t>
  </si>
  <si>
    <t>Intercompany settlement received from branch 2 - 2024-06</t>
  </si>
  <si>
    <t>Shared services billed to branch 3 - 2024-06</t>
  </si>
  <si>
    <t>Intercompany settlement received from branch 3 - 2024-06</t>
  </si>
  <si>
    <t>2024-07-12</t>
  </si>
  <si>
    <t>MIA legal fees billed - 2024-07</t>
  </si>
  <si>
    <t>2024-07-24</t>
  </si>
  <si>
    <t>MIA client fee collections - 2024-07</t>
  </si>
  <si>
    <t>2024-07-15</t>
  </si>
  <si>
    <t>MIA direct case costs - 2024-07</t>
  </si>
  <si>
    <t>2024-07-29</t>
  </si>
  <si>
    <t>MIA payroll run - 2024-07</t>
  </si>
  <si>
    <t>2024-07-01</t>
  </si>
  <si>
    <t>MIA office rent - 2024-07</t>
  </si>
  <si>
    <t>2024-07-18</t>
  </si>
  <si>
    <t>MIA marketing spend - 2024-07</t>
  </si>
  <si>
    <t>MIA malpractice insurance amortization - 2024-07</t>
  </si>
  <si>
    <t>2024-07-09</t>
  </si>
  <si>
    <t>MIA software &amp; IT subscriptions - 2024-07</t>
  </si>
  <si>
    <t>2024-07-31</t>
  </si>
  <si>
    <t>MIA monthly depreciation - 2024-07</t>
  </si>
  <si>
    <t>2024-07-05</t>
  </si>
  <si>
    <t>MIA AP payment run (prior month invoices) - 2024-07</t>
  </si>
  <si>
    <t>CHI legal fees billed - 2024-07</t>
  </si>
  <si>
    <t>CHI client fee collections - 2024-07</t>
  </si>
  <si>
    <t>CHI direct case costs - 2024-07</t>
  </si>
  <si>
    <t>CHI payroll run - 2024-07</t>
  </si>
  <si>
    <t>CHI office rent - 2024-07</t>
  </si>
  <si>
    <t>CHI marketing spend - 2024-07</t>
  </si>
  <si>
    <t>CHI malpractice insurance amortization - 2024-07</t>
  </si>
  <si>
    <t>CHI software &amp; IT subscriptions - 2024-07</t>
  </si>
  <si>
    <t>CHI monthly depreciation - 2024-07</t>
  </si>
  <si>
    <t>CHI AP payment run (prior month invoices) - 2024-07</t>
  </si>
  <si>
    <t>DAL legal fees billed - 2024-07</t>
  </si>
  <si>
    <t>DAL client fee collections - 2024-07</t>
  </si>
  <si>
    <t>DAL direct case costs - 2024-07</t>
  </si>
  <si>
    <t>DAL payroll run - 2024-07</t>
  </si>
  <si>
    <t>DAL office rent - 2024-07</t>
  </si>
  <si>
    <t>DAL marketing spend - 2024-07</t>
  </si>
  <si>
    <t>DAL malpractice insurance amortization - 2024-07</t>
  </si>
  <si>
    <t>DAL software &amp; IT subscriptions - 2024-07</t>
  </si>
  <si>
    <t>DAL monthly depreciation - 2024-07</t>
  </si>
  <si>
    <t>DAL AP payment run (prior month invoices) - 2024-07</t>
  </si>
  <si>
    <t>2024-07-22</t>
  </si>
  <si>
    <t>Shared services billed to branch 2 - 2024-07</t>
  </si>
  <si>
    <t>Shared services allocation from HQ - 2024-07</t>
  </si>
  <si>
    <t>2024-07-25</t>
  </si>
  <si>
    <t>Intercompany settlement paid to HQ - 2024-07</t>
  </si>
  <si>
    <t>Intercompany settlement received from branch 2 - 2024-07</t>
  </si>
  <si>
    <t>Shared services billed to branch 3 - 2024-07</t>
  </si>
  <si>
    <t>Intercompany settlement received from branch 3 - 2024-07</t>
  </si>
  <si>
    <t>2024-08-12</t>
  </si>
  <si>
    <t>MIA legal fees billed - 2024-08</t>
  </si>
  <si>
    <t>2024-08-26</t>
  </si>
  <si>
    <t>MIA client fee collections - 2024-08</t>
  </si>
  <si>
    <t>2024-08-15</t>
  </si>
  <si>
    <t>MIA direct case costs - 2024-08</t>
  </si>
  <si>
    <t>2024-08-28</t>
  </si>
  <si>
    <t>MIA payroll run - 2024-08</t>
  </si>
  <si>
    <t>2024-08-01</t>
  </si>
  <si>
    <t>MIA office rent - 2024-08</t>
  </si>
  <si>
    <t>2024-08-19</t>
  </si>
  <si>
    <t>MIA marketing spend - 2024-08</t>
  </si>
  <si>
    <t>MIA malpractice insurance amortization - 2024-08</t>
  </si>
  <si>
    <t>2024-08-09</t>
  </si>
  <si>
    <t>MIA software &amp; IT subscriptions - 2024-08</t>
  </si>
  <si>
    <t>2024-08-31</t>
  </si>
  <si>
    <t>MIA monthly depreciation - 2024-08</t>
  </si>
  <si>
    <t>2024-08-05</t>
  </si>
  <si>
    <t>MIA AP payment run (prior month invoices) - 2024-08</t>
  </si>
  <si>
    <t>CHI legal fees billed - 2024-08</t>
  </si>
  <si>
    <t>CHI client fee collections - 2024-08</t>
  </si>
  <si>
    <t>CHI direct case costs - 2024-08</t>
  </si>
  <si>
    <t>CHI payroll run - 2024-08</t>
  </si>
  <si>
    <t>CHI office rent - 2024-08</t>
  </si>
  <si>
    <t>CHI marketing spend - 2024-08</t>
  </si>
  <si>
    <t>CHI malpractice insurance amortization - 2024-08</t>
  </si>
  <si>
    <t>CHI software &amp; IT subscriptions - 2024-08</t>
  </si>
  <si>
    <t>CHI monthly depreciation - 2024-08</t>
  </si>
  <si>
    <t>CHI AP payment run (prior month invoices) - 2024-08</t>
  </si>
  <si>
    <t>DAL legal fees billed - 2024-08</t>
  </si>
  <si>
    <t>DAL client fee collections - 2024-08</t>
  </si>
  <si>
    <t>DAL direct case costs - 2024-08</t>
  </si>
  <si>
    <t>DAL payroll run - 2024-08</t>
  </si>
  <si>
    <t>DAL office rent - 2024-08</t>
  </si>
  <si>
    <t>DAL marketing spend - 2024-08</t>
  </si>
  <si>
    <t>DAL malpractice insurance amortization - 2024-08</t>
  </si>
  <si>
    <t>DAL software &amp; IT subscriptions - 2024-08</t>
  </si>
  <si>
    <t>DAL monthly depreciation - 2024-08</t>
  </si>
  <si>
    <t>DAL AP payment run (prior month invoices) - 2024-08</t>
  </si>
  <si>
    <t>2024-08-20</t>
  </si>
  <si>
    <t>Shared services billed to branch 2 - 2024-08</t>
  </si>
  <si>
    <t>Shared services allocation from HQ - 2024-08</t>
  </si>
  <si>
    <t>Intercompany settlement paid to HQ - 2024-08</t>
  </si>
  <si>
    <t>Intercompany settlement received from branch 2 - 2024-08</t>
  </si>
  <si>
    <t>Shared services billed to branch 3 - 2024-08</t>
  </si>
  <si>
    <t>Intercompany settlement received from branch 3 - 2024-08</t>
  </si>
  <si>
    <t>2024-09-12</t>
  </si>
  <si>
    <t>MIA legal fees billed - 2024-09</t>
  </si>
  <si>
    <t>2024-09-24</t>
  </si>
  <si>
    <t>MIA client fee collections - 2024-09</t>
  </si>
  <si>
    <t>2024-09-16</t>
  </si>
  <si>
    <t>MIA direct case costs - 2024-09</t>
  </si>
  <si>
    <t>2024-09-30</t>
  </si>
  <si>
    <t>MIA payroll run - 2024-09</t>
  </si>
  <si>
    <t>2024-09-02</t>
  </si>
  <si>
    <t>MIA office rent - 2024-09</t>
  </si>
  <si>
    <t>2024-09-18</t>
  </si>
  <si>
    <t>MIA marketing spend - 2024-09</t>
  </si>
  <si>
    <t>MIA malpractice insurance amortization - 2024-09</t>
  </si>
  <si>
    <t>2024-09-09</t>
  </si>
  <si>
    <t>MIA software &amp; IT subscriptions - 2024-09</t>
  </si>
  <si>
    <t>MIA monthly depreciation - 2024-09</t>
  </si>
  <si>
    <t>2024-09-05</t>
  </si>
  <si>
    <t>MIA AP payment run (prior month invoices) - 2024-09</t>
  </si>
  <si>
    <t>CHI legal fees billed - 2024-09</t>
  </si>
  <si>
    <t>CHI client fee collections - 2024-09</t>
  </si>
  <si>
    <t>CHI direct case costs - 2024-09</t>
  </si>
  <si>
    <t>CHI payroll run - 2024-09</t>
  </si>
  <si>
    <t>CHI office rent - 2024-09</t>
  </si>
  <si>
    <t>CHI marketing spend - 2024-09</t>
  </si>
  <si>
    <t>CHI malpractice insurance amortization - 2024-09</t>
  </si>
  <si>
    <t>CHI software &amp; IT subscriptions - 2024-09</t>
  </si>
  <si>
    <t>CHI monthly depreciation - 2024-09</t>
  </si>
  <si>
    <t>CHI AP payment run (prior month invoices) - 2024-09</t>
  </si>
  <si>
    <t>DAL legal fees billed - 2024-09</t>
  </si>
  <si>
    <t>DAL client fee collections - 2024-09</t>
  </si>
  <si>
    <t>DAL direct case costs - 2024-09</t>
  </si>
  <si>
    <t>DAL payroll run - 2024-09</t>
  </si>
  <si>
    <t>DAL office rent - 2024-09</t>
  </si>
  <si>
    <t>DAL marketing spend - 2024-09</t>
  </si>
  <si>
    <t>DAL malpractice insurance amortization - 2024-09</t>
  </si>
  <si>
    <t>DAL software &amp; IT subscriptions - 2024-09</t>
  </si>
  <si>
    <t>DAL monthly depreciation - 2024-09</t>
  </si>
  <si>
    <t>DAL AP payment run (prior month invoices) - 2024-09</t>
  </si>
  <si>
    <t>2024-09-20</t>
  </si>
  <si>
    <t>Shared services billed to branch 2 - 2024-09</t>
  </si>
  <si>
    <t>Shared services allocation from HQ - 2024-09</t>
  </si>
  <si>
    <t>2024-09-25</t>
  </si>
  <si>
    <t>Intercompany settlement paid to HQ - 2024-09</t>
  </si>
  <si>
    <t>Intercompany settlement received from branch 2 - 2024-09</t>
  </si>
  <si>
    <t>Shared services billed to branch 3 - 2024-09</t>
  </si>
  <si>
    <t>Intercompany settlement received from branch 3 - 2024-09</t>
  </si>
  <si>
    <t>2024-10-14</t>
  </si>
  <si>
    <t>MIA legal fees billed - 2024-10</t>
  </si>
  <si>
    <t>2024-10-24</t>
  </si>
  <si>
    <t>MIA client fee collections - 2024-10</t>
  </si>
  <si>
    <t>2024-10-15</t>
  </si>
  <si>
    <t>MIA direct case costs - 2024-10</t>
  </si>
  <si>
    <t>2024-10-28</t>
  </si>
  <si>
    <t>MIA payroll run - 2024-10</t>
  </si>
  <si>
    <t>2024-10-01</t>
  </si>
  <si>
    <t>MIA office rent - 2024-10</t>
  </si>
  <si>
    <t>2024-10-18</t>
  </si>
  <si>
    <t>MIA marketing spend - 2024-10</t>
  </si>
  <si>
    <t>MIA malpractice insurance amortization - 2024-10</t>
  </si>
  <si>
    <t>2024-10-09</t>
  </si>
  <si>
    <t>MIA software &amp; IT subscriptions - 2024-10</t>
  </si>
  <si>
    <t>2024-10-31</t>
  </si>
  <si>
    <t>MIA monthly depreciation - 2024-10</t>
  </si>
  <si>
    <t>2024-10-07</t>
  </si>
  <si>
    <t>MIA AP payment run (prior month invoices) - 2024-10</t>
  </si>
  <si>
    <t>CHI legal fees billed - 2024-10</t>
  </si>
  <si>
    <t>CHI client fee collections - 2024-10</t>
  </si>
  <si>
    <t>CHI direct case costs - 2024-10</t>
  </si>
  <si>
    <t>CHI payroll run - 2024-10</t>
  </si>
  <si>
    <t>CHI office rent - 2024-10</t>
  </si>
  <si>
    <t>CHI marketing spend - 2024-10</t>
  </si>
  <si>
    <t>CHI malpractice insurance amortization - 2024-10</t>
  </si>
  <si>
    <t>CHI software &amp; IT subscriptions - 2024-10</t>
  </si>
  <si>
    <t>CHI monthly depreciation - 2024-10</t>
  </si>
  <si>
    <t>CHI AP payment run (prior month invoices) - 2024-10</t>
  </si>
  <si>
    <t>DAL legal fees billed - 2024-10</t>
  </si>
  <si>
    <t>DAL client fee collections - 2024-10</t>
  </si>
  <si>
    <t>DAL direct case costs - 2024-10</t>
  </si>
  <si>
    <t>DAL payroll run - 2024-10</t>
  </si>
  <si>
    <t>DAL office rent - 2024-10</t>
  </si>
  <si>
    <t>DAL marketing spend - 2024-10</t>
  </si>
  <si>
    <t>DAL malpractice insurance amortization - 2024-10</t>
  </si>
  <si>
    <t>DAL software &amp; IT subscriptions - 2024-10</t>
  </si>
  <si>
    <t>DAL monthly depreciation - 2024-10</t>
  </si>
  <si>
    <t>DAL AP payment run (prior month invoices) - 2024-10</t>
  </si>
  <si>
    <t>2024-10-21</t>
  </si>
  <si>
    <t>Shared services billed to branch 2 - 2024-10</t>
  </si>
  <si>
    <t>Shared services allocation from HQ - 2024-10</t>
  </si>
  <si>
    <t>2024-10-25</t>
  </si>
  <si>
    <t>Intercompany settlement paid to HQ - 2024-10</t>
  </si>
  <si>
    <t>Intercompany settlement received from branch 2 - 2024-10</t>
  </si>
  <si>
    <t>Shared services billed to branch 3 - 2024-10</t>
  </si>
  <si>
    <t>Intercompany settlement received from branch 3 - 2024-10</t>
  </si>
  <si>
    <t>2024-11-12</t>
  </si>
  <si>
    <t>MIA legal fees billed - 2024-11</t>
  </si>
  <si>
    <t>2024-11-25</t>
  </si>
  <si>
    <t>MIA client fee collections - 2024-11</t>
  </si>
  <si>
    <t>2024-11-15</t>
  </si>
  <si>
    <t>MIA direct case costs - 2024-11</t>
  </si>
  <si>
    <t>2024-11-28</t>
  </si>
  <si>
    <t>MIA payroll run - 2024-11</t>
  </si>
  <si>
    <t>2024-11-01</t>
  </si>
  <si>
    <t>MIA office rent - 2024-11</t>
  </si>
  <si>
    <t>2024-11-18</t>
  </si>
  <si>
    <t>MIA marketing spend - 2024-11</t>
  </si>
  <si>
    <t>MIA malpractice insurance amortization - 2024-11</t>
  </si>
  <si>
    <t>2024-11-11</t>
  </si>
  <si>
    <t>MIA software &amp; IT subscriptions - 2024-11</t>
  </si>
  <si>
    <t>2024-11-30</t>
  </si>
  <si>
    <t>MIA monthly depreciation - 2024-11</t>
  </si>
  <si>
    <t>2024-11-05</t>
  </si>
  <si>
    <t>MIA AP payment run (prior month invoices) - 2024-11</t>
  </si>
  <si>
    <t>CHI legal fees billed - 2024-11</t>
  </si>
  <si>
    <t>CHI client fee collections - 2024-11</t>
  </si>
  <si>
    <t>CHI direct case costs - 2024-11</t>
  </si>
  <si>
    <t>CHI payroll run - 2024-11</t>
  </si>
  <si>
    <t>CHI office rent - 2024-11</t>
  </si>
  <si>
    <t>CHI marketing spend - 2024-11</t>
  </si>
  <si>
    <t>CHI malpractice insurance amortization - 2024-11</t>
  </si>
  <si>
    <t>CHI software &amp; IT subscriptions - 2024-11</t>
  </si>
  <si>
    <t>CHI monthly depreciation - 2024-11</t>
  </si>
  <si>
    <t>CHI AP payment run (prior month invoices) - 2024-11</t>
  </si>
  <si>
    <t>DAL legal fees billed - 2024-11</t>
  </si>
  <si>
    <t>DAL client fee collections - 2024-11</t>
  </si>
  <si>
    <t>DAL direct case costs - 2024-11</t>
  </si>
  <si>
    <t>DAL payroll run - 2024-11</t>
  </si>
  <si>
    <t>DAL office rent - 2024-11</t>
  </si>
  <si>
    <t>DAL marketing spend - 2024-11</t>
  </si>
  <si>
    <t>DAL malpractice insurance amortization - 2024-11</t>
  </si>
  <si>
    <t>DAL software &amp; IT subscriptions - 2024-11</t>
  </si>
  <si>
    <t>DAL monthly depreciation - 2024-11</t>
  </si>
  <si>
    <t>DAL AP payment run (prior month invoices) - 2024-11</t>
  </si>
  <si>
    <t>2024-11-20</t>
  </si>
  <si>
    <t>Shared services billed to branch 2 - 2024-11</t>
  </si>
  <si>
    <t>Shared services allocation from HQ - 2024-11</t>
  </si>
  <si>
    <t>Intercompany settlement paid to HQ - 2024-11</t>
  </si>
  <si>
    <t>Intercompany settlement received from branch 2 - 2024-11</t>
  </si>
  <si>
    <t>Shared services billed to branch 3 - 2024-11</t>
  </si>
  <si>
    <t>Intercompany settlement received from branch 3 - 2024-11</t>
  </si>
  <si>
    <t>2024-12-12</t>
  </si>
  <si>
    <t>MIA legal fees billed - 2024-12</t>
  </si>
  <si>
    <t>2024-12-24</t>
  </si>
  <si>
    <t>MIA client fee collections - 2024-12</t>
  </si>
  <si>
    <t>2024-12-16</t>
  </si>
  <si>
    <t>MIA direct case costs - 2024-12</t>
  </si>
  <si>
    <t>2024-12-30</t>
  </si>
  <si>
    <t>MIA payroll run - 2024-12</t>
  </si>
  <si>
    <t>2024-12-02</t>
  </si>
  <si>
    <t>MIA office rent - 2024-12</t>
  </si>
  <si>
    <t>2024-12-18</t>
  </si>
  <si>
    <t>MIA marketing spend - 2024-12</t>
  </si>
  <si>
    <t>MIA malpractice insurance amortization - 2024-12</t>
  </si>
  <si>
    <t>2024-12-09</t>
  </si>
  <si>
    <t>MIA software &amp; IT subscriptions - 2024-12</t>
  </si>
  <si>
    <t>2024-12-31</t>
  </si>
  <si>
    <t>MIA monthly depreciation - 2024-12</t>
  </si>
  <si>
    <t>2024-12-05</t>
  </si>
  <si>
    <t>MIA AP payment run (prior month invoices) - 2024-12</t>
  </si>
  <si>
    <t>CHI legal fees billed - 2024-12</t>
  </si>
  <si>
    <t>CHI client fee collections - 2024-12</t>
  </si>
  <si>
    <t>CHI direct case costs - 2024-12</t>
  </si>
  <si>
    <t>CHI payroll run - 2024-12</t>
  </si>
  <si>
    <t>CHI office rent - 2024-12</t>
  </si>
  <si>
    <t>CHI marketing spend - 2024-12</t>
  </si>
  <si>
    <t>CHI malpractice insurance amortization - 2024-12</t>
  </si>
  <si>
    <t>CHI software &amp; IT subscriptions - 2024-12</t>
  </si>
  <si>
    <t>CHI monthly depreciation - 2024-12</t>
  </si>
  <si>
    <t>CHI AP payment run (prior month invoices) - 2024-12</t>
  </si>
  <si>
    <t>DAL legal fees billed - 2024-12</t>
  </si>
  <si>
    <t>DAL client fee collections - 2024-12</t>
  </si>
  <si>
    <t>DAL direct case costs - 2024-12</t>
  </si>
  <si>
    <t>DAL payroll run - 2024-12</t>
  </si>
  <si>
    <t>DAL office rent - 2024-12</t>
  </si>
  <si>
    <t>DAL marketing spend - 2024-12</t>
  </si>
  <si>
    <t>DAL malpractice insurance amortization - 2024-12</t>
  </si>
  <si>
    <t>DAL software &amp; IT subscriptions - 2024-12</t>
  </si>
  <si>
    <t>DAL monthly depreciation - 2024-12</t>
  </si>
  <si>
    <t>DAL AP payment run (prior month invoices) - 2024-12</t>
  </si>
  <si>
    <t>2024-12-20</t>
  </si>
  <si>
    <t>Shared services billed to branch 2 - 2024-12</t>
  </si>
  <si>
    <t>Shared services allocation from HQ - 2024-12</t>
  </si>
  <si>
    <t>2024-12-25</t>
  </si>
  <si>
    <t>Intercompany settlement paid to HQ - 2024-12</t>
  </si>
  <si>
    <t>Intercompany settlement received from branch 2 - 2024-12</t>
  </si>
  <si>
    <t>Shared services billed to branch 3 - 2024-12</t>
  </si>
  <si>
    <t>Intercompany settlement received from branch 3 - 2024-12</t>
  </si>
  <si>
    <t>2025-01-13</t>
  </si>
  <si>
    <t>MIA legal fees billed - 2025-01</t>
  </si>
  <si>
    <t>2025-01-24</t>
  </si>
  <si>
    <t>MIA client fee collections - 2025-01</t>
  </si>
  <si>
    <t>2025-01-15</t>
  </si>
  <si>
    <t>MIA direct case costs - 2025-01</t>
  </si>
  <si>
    <t>2025-01-28</t>
  </si>
  <si>
    <t>MIA payroll run - 2025-01</t>
  </si>
  <si>
    <t>2025-01-01</t>
  </si>
  <si>
    <t>MIA office rent - 2025-01</t>
  </si>
  <si>
    <t>2025-01-20</t>
  </si>
  <si>
    <t>MIA marketing spend - 2025-01</t>
  </si>
  <si>
    <t>MIA malpractice insurance amortization - 2025-01</t>
  </si>
  <si>
    <t>2025-01-09</t>
  </si>
  <si>
    <t>MIA software &amp; IT subscriptions - 2025-01</t>
  </si>
  <si>
    <t>2025-01-31</t>
  </si>
  <si>
    <t>MIA monthly depreciation - 2025-01</t>
  </si>
  <si>
    <t>2025-01-06</t>
  </si>
  <si>
    <t>MIA AP payment run (prior month invoices) - 2025-01</t>
  </si>
  <si>
    <t>CHI legal fees billed - 2025-01</t>
  </si>
  <si>
    <t>CHI client fee collections - 2025-01</t>
  </si>
  <si>
    <t>CHI direct case costs - 2025-01</t>
  </si>
  <si>
    <t>CHI payroll run - 2025-01</t>
  </si>
  <si>
    <t>CHI office rent - 2025-01</t>
  </si>
  <si>
    <t>CHI marketing spend - 2025-01</t>
  </si>
  <si>
    <t>CHI malpractice insurance amortization - 2025-01</t>
  </si>
  <si>
    <t>CHI software &amp; IT subscriptions - 2025-01</t>
  </si>
  <si>
    <t>CHI monthly depreciation - 2025-01</t>
  </si>
  <si>
    <t>CHI AP payment run (prior month invoices) - 2025-01</t>
  </si>
  <si>
    <t>DAL legal fees billed - 2025-01</t>
  </si>
  <si>
    <t>DAL client fee collections - 2025-01</t>
  </si>
  <si>
    <t>DAL direct case costs - 2025-01</t>
  </si>
  <si>
    <t>DAL payroll run - 2025-01</t>
  </si>
  <si>
    <t>DAL office rent - 2025-01</t>
  </si>
  <si>
    <t>DAL marketing spend - 2025-01</t>
  </si>
  <si>
    <t>DAL malpractice insurance amortization - 2025-01</t>
  </si>
  <si>
    <t>DAL software &amp; IT subscriptions - 2025-01</t>
  </si>
  <si>
    <t>DAL monthly depreciation - 2025-01</t>
  </si>
  <si>
    <t>DAL AP payment run (prior month invoices) - 2025-01</t>
  </si>
  <si>
    <t>Shared services billed to branch 2 - 2025-01</t>
  </si>
  <si>
    <t>Shared services allocation from HQ - 2025-01</t>
  </si>
  <si>
    <t>2025-01-27</t>
  </si>
  <si>
    <t>Intercompany settlement paid to HQ - 2025-01</t>
  </si>
  <si>
    <t>Intercompany settlement received from branch 2 - 2025-01</t>
  </si>
  <si>
    <t>Shared services billed to branch 3 - 2025-01</t>
  </si>
  <si>
    <t>Intercompany settlement received from branch 3 - 2025-01</t>
  </si>
  <si>
    <t>2025-02-12</t>
  </si>
  <si>
    <t>MIA legal fees billed - 2025-02</t>
  </si>
  <si>
    <t>2025-02-24</t>
  </si>
  <si>
    <t>MIA client fee collections - 2025-02</t>
  </si>
  <si>
    <t>2025-02-17</t>
  </si>
  <si>
    <t>MIA direct case costs - 2025-02</t>
  </si>
  <si>
    <t>2025-02-28</t>
  </si>
  <si>
    <t>MIA payroll run - 2025-02</t>
  </si>
  <si>
    <t>2025-02-03</t>
  </si>
  <si>
    <t>MIA office rent - 2025-02</t>
  </si>
  <si>
    <t>2025-02-18</t>
  </si>
  <si>
    <t>MIA marketing spend - 2025-02</t>
  </si>
  <si>
    <t>MIA malpractice insurance amortization - 2025-02</t>
  </si>
  <si>
    <t>2025-02-10</t>
  </si>
  <si>
    <t>MIA software &amp; IT subscriptions - 2025-02</t>
  </si>
  <si>
    <t>MIA monthly depreciation - 2025-02</t>
  </si>
  <si>
    <t>2025-02-05</t>
  </si>
  <si>
    <t>MIA AP payment run (prior month invoices) - 2025-02</t>
  </si>
  <si>
    <t>CHI legal fees billed - 2025-02</t>
  </si>
  <si>
    <t>CHI client fee collections - 2025-02</t>
  </si>
  <si>
    <t>CHI direct case costs - 2025-02</t>
  </si>
  <si>
    <t>CHI payroll run - 2025-02</t>
  </si>
  <si>
    <t>CHI office rent - 2025-02</t>
  </si>
  <si>
    <t>CHI marketing spend - 2025-02</t>
  </si>
  <si>
    <t>CHI malpractice insurance amortization - 2025-02</t>
  </si>
  <si>
    <t>CHI software &amp; IT subscriptions - 2025-02</t>
  </si>
  <si>
    <t>CHI monthly depreciation - 2025-02</t>
  </si>
  <si>
    <t>CHI AP payment run (prior month invoices) - 2025-02</t>
  </si>
  <si>
    <t>DAL legal fees billed - 2025-02</t>
  </si>
  <si>
    <t>DAL client fee collections - 2025-02</t>
  </si>
  <si>
    <t>DAL direct case costs - 2025-02</t>
  </si>
  <si>
    <t>DAL payroll run - 2025-02</t>
  </si>
  <si>
    <t>DAL office rent - 2025-02</t>
  </si>
  <si>
    <t>DAL marketing spend - 2025-02</t>
  </si>
  <si>
    <t>DAL malpractice insurance amortization - 2025-02</t>
  </si>
  <si>
    <t>DAL software &amp; IT subscriptions - 2025-02</t>
  </si>
  <si>
    <t>DAL monthly depreciation - 2025-02</t>
  </si>
  <si>
    <t>DAL AP payment run (prior month invoices) - 2025-02</t>
  </si>
  <si>
    <t>2025-02-20</t>
  </si>
  <si>
    <t>Shared services billed to branch 2 - 2025-02</t>
  </si>
  <si>
    <t>Shared services allocation from HQ - 2025-02</t>
  </si>
  <si>
    <t>2025-02-25</t>
  </si>
  <si>
    <t>Intercompany settlement paid to HQ - 2025-02</t>
  </si>
  <si>
    <t>Intercompany settlement received from branch 2 - 2025-02</t>
  </si>
  <si>
    <t>Shared services billed to branch 3 - 2025-02</t>
  </si>
  <si>
    <t>Intercompany settlement received from branch 3 - 2025-02</t>
  </si>
  <si>
    <t>2025-03-12</t>
  </si>
  <si>
    <t>MIA legal fees billed - 2025-03</t>
  </si>
  <si>
    <t>2025-03-24</t>
  </si>
  <si>
    <t>MIA client fee collections - 2025-03</t>
  </si>
  <si>
    <t>2025-03-17</t>
  </si>
  <si>
    <t>MIA direct case costs - 2025-03</t>
  </si>
  <si>
    <t>2025-03-28</t>
  </si>
  <si>
    <t>MIA payroll run - 2025-03</t>
  </si>
  <si>
    <t>2025-03-03</t>
  </si>
  <si>
    <t>MIA office rent - 2025-03</t>
  </si>
  <si>
    <t>2025-03-18</t>
  </si>
  <si>
    <t>MIA marketing spend - 2025-03</t>
  </si>
  <si>
    <t>MIA malpractice insurance amortization - 2025-03</t>
  </si>
  <si>
    <t>2025-03-10</t>
  </si>
  <si>
    <t>MIA software &amp; IT subscriptions - 2025-03</t>
  </si>
  <si>
    <t>2025-03-31</t>
  </si>
  <si>
    <t>MIA monthly depreciation - 2025-03</t>
  </si>
  <si>
    <t>2025-03-05</t>
  </si>
  <si>
    <t>MIA AP payment run (prior month invoices) - 2025-03</t>
  </si>
  <si>
    <t>CHI legal fees billed - 2025-03</t>
  </si>
  <si>
    <t>CHI client fee collections - 2025-03</t>
  </si>
  <si>
    <t>CHI direct case costs - 2025-03</t>
  </si>
  <si>
    <t>CHI payroll run - 2025-03</t>
  </si>
  <si>
    <t>CHI office rent - 2025-03</t>
  </si>
  <si>
    <t>CHI marketing spend - 2025-03</t>
  </si>
  <si>
    <t>CHI malpractice insurance amortization - 2025-03</t>
  </si>
  <si>
    <t>CHI software &amp; IT subscriptions - 2025-03</t>
  </si>
  <si>
    <t>CHI monthly depreciation - 2025-03</t>
  </si>
  <si>
    <t>CHI AP payment run (prior month invoices) - 2025-03</t>
  </si>
  <si>
    <t>DAL legal fees billed - 2025-03</t>
  </si>
  <si>
    <t>DAL client fee collections - 2025-03</t>
  </si>
  <si>
    <t>DAL direct case costs - 2025-03</t>
  </si>
  <si>
    <t>DAL payroll run - 2025-03</t>
  </si>
  <si>
    <t>DAL office rent - 2025-03</t>
  </si>
  <si>
    <t>DAL marketing spend - 2025-03</t>
  </si>
  <si>
    <t>DAL malpractice insurance amortization - 2025-03</t>
  </si>
  <si>
    <t>DAL software &amp; IT subscriptions - 2025-03</t>
  </si>
  <si>
    <t>DAL monthly depreciation - 2025-03</t>
  </si>
  <si>
    <t>DAL AP payment run (prior month invoices) - 2025-03</t>
  </si>
  <si>
    <t>2025-03-20</t>
  </si>
  <si>
    <t>Shared services billed to branch 2 - 2025-03</t>
  </si>
  <si>
    <t>Shared services allocation from HQ - 2025-03</t>
  </si>
  <si>
    <t>2025-03-25</t>
  </si>
  <si>
    <t>Intercompany settlement paid to HQ - 2025-03</t>
  </si>
  <si>
    <t>Intercompany settlement received from branch 2 - 2025-03</t>
  </si>
  <si>
    <t>Shared services billed to branch 3 - 2025-03</t>
  </si>
  <si>
    <t>Intercompany settlement received from branch 3 - 2025-03</t>
  </si>
  <si>
    <t>2025-04-14</t>
  </si>
  <si>
    <t>MIA legal fees billed - 2025-04</t>
  </si>
  <si>
    <t>2025-04-24</t>
  </si>
  <si>
    <t>MIA client fee collections - 2025-04</t>
  </si>
  <si>
    <t>2025-04-15</t>
  </si>
  <si>
    <t>MIA direct case costs - 2025-04</t>
  </si>
  <si>
    <t>2025-04-28</t>
  </si>
  <si>
    <t>MIA payroll run - 2025-04</t>
  </si>
  <si>
    <t>2025-04-01</t>
  </si>
  <si>
    <t>MIA office rent - 2025-04</t>
  </si>
  <si>
    <t>2025-04-18</t>
  </si>
  <si>
    <t>MIA marketing spend - 2025-04</t>
  </si>
  <si>
    <t>MIA malpractice insurance amortization - 2025-04</t>
  </si>
  <si>
    <t>2025-04-09</t>
  </si>
  <si>
    <t>MIA software &amp; IT subscriptions - 2025-04</t>
  </si>
  <si>
    <t>2025-04-30</t>
  </si>
  <si>
    <t>MIA monthly depreciation - 2025-04</t>
  </si>
  <si>
    <t>2025-04-07</t>
  </si>
  <si>
    <t>MIA AP payment run (prior month invoices) - 2025-04</t>
  </si>
  <si>
    <t>CHI legal fees billed - 2025-04</t>
  </si>
  <si>
    <t>CHI client fee collections - 2025-04</t>
  </si>
  <si>
    <t>CHI direct case costs - 2025-04</t>
  </si>
  <si>
    <t>CHI payroll run - 2025-04</t>
  </si>
  <si>
    <t>CHI office rent - 2025-04</t>
  </si>
  <si>
    <t>CHI marketing spend - 2025-04</t>
  </si>
  <si>
    <t>CHI malpractice insurance amortization - 2025-04</t>
  </si>
  <si>
    <t>CHI software &amp; IT subscriptions - 2025-04</t>
  </si>
  <si>
    <t>CHI monthly depreciation - 2025-04</t>
  </si>
  <si>
    <t>CHI AP payment run (prior month invoices) - 2025-04</t>
  </si>
  <si>
    <t>DAL legal fees billed - 2025-04</t>
  </si>
  <si>
    <t>DAL client fee collections - 2025-04</t>
  </si>
  <si>
    <t>DAL direct case costs - 2025-04</t>
  </si>
  <si>
    <t>DAL payroll run - 2025-04</t>
  </si>
  <si>
    <t>DAL office rent - 2025-04</t>
  </si>
  <si>
    <t>DAL marketing spend - 2025-04</t>
  </si>
  <si>
    <t>DAL malpractice insurance amortization - 2025-04</t>
  </si>
  <si>
    <t>DAL software &amp; IT subscriptions - 2025-04</t>
  </si>
  <si>
    <t>DAL monthly depreciation - 2025-04</t>
  </si>
  <si>
    <t>DAL AP payment run (prior month invoices) - 2025-04</t>
  </si>
  <si>
    <t>2025-04-21</t>
  </si>
  <si>
    <t>Shared services billed to branch 2 - 2025-04</t>
  </si>
  <si>
    <t>Shared services allocation from HQ - 2025-04</t>
  </si>
  <si>
    <t>2025-04-25</t>
  </si>
  <si>
    <t>Intercompany settlement paid to HQ - 2025-04</t>
  </si>
  <si>
    <t>Intercompany settlement received from branch 2 - 2025-04</t>
  </si>
  <si>
    <t>Shared services billed to branch 3 - 2025-04</t>
  </si>
  <si>
    <t>Intercompany settlement received from branch 3 - 2025-04</t>
  </si>
  <si>
    <t>2025-05-12</t>
  </si>
  <si>
    <t>MIA legal fees billed - 2025-05</t>
  </si>
  <si>
    <t>2025-05-26</t>
  </si>
  <si>
    <t>MIA client fee collections - 2025-05</t>
  </si>
  <si>
    <t>2025-05-15</t>
  </si>
  <si>
    <t>MIA direct case costs - 2025-05</t>
  </si>
  <si>
    <t>2025-05-28</t>
  </si>
  <si>
    <t>MIA payroll run - 2025-05</t>
  </si>
  <si>
    <t>2025-05-01</t>
  </si>
  <si>
    <t>MIA office rent - 2025-05</t>
  </si>
  <si>
    <t>2025-05-19</t>
  </si>
  <si>
    <t>MIA marketing spend - 2025-05</t>
  </si>
  <si>
    <t>MIA malpractice insurance amortization - 2025-05</t>
  </si>
  <si>
    <t>2025-05-09</t>
  </si>
  <si>
    <t>MIA software &amp; IT subscriptions - 2025-05</t>
  </si>
  <si>
    <t>2025-05-31</t>
  </si>
  <si>
    <t>MIA monthly depreciation - 2025-05</t>
  </si>
  <si>
    <t>2025-05-05</t>
  </si>
  <si>
    <t>MIA AP payment run (prior month invoices) - 2025-05</t>
  </si>
  <si>
    <t>CHI legal fees billed - 2025-05</t>
  </si>
  <si>
    <t>CHI client fee collections - 2025-05</t>
  </si>
  <si>
    <t>CHI direct case costs - 2025-05</t>
  </si>
  <si>
    <t>CHI payroll run - 2025-05</t>
  </si>
  <si>
    <t>CHI office rent - 2025-05</t>
  </si>
  <si>
    <t>CHI marketing spend - 2025-05</t>
  </si>
  <si>
    <t>CHI malpractice insurance amortization - 2025-05</t>
  </si>
  <si>
    <t>CHI software &amp; IT subscriptions - 2025-05</t>
  </si>
  <si>
    <t>CHI monthly depreciation - 2025-05</t>
  </si>
  <si>
    <t>CHI AP payment run (prior month invoices) - 2025-05</t>
  </si>
  <si>
    <t>DAL legal fees billed - 2025-05</t>
  </si>
  <si>
    <t>DAL client fee collections - 2025-05</t>
  </si>
  <si>
    <t>DAL direct case costs - 2025-05</t>
  </si>
  <si>
    <t>DAL payroll run - 2025-05</t>
  </si>
  <si>
    <t>DAL office rent - 2025-05</t>
  </si>
  <si>
    <t>DAL marketing spend - 2025-05</t>
  </si>
  <si>
    <t>DAL malpractice insurance amortization - 2025-05</t>
  </si>
  <si>
    <t>DAL software &amp; IT subscriptions - 2025-05</t>
  </si>
  <si>
    <t>DAL monthly depreciation - 2025-05</t>
  </si>
  <si>
    <t>DAL AP payment run (prior month invoices) - 2025-05</t>
  </si>
  <si>
    <t>2025-05-20</t>
  </si>
  <si>
    <t>Shared services billed to branch 2 - 2025-05</t>
  </si>
  <si>
    <t>Shared services allocation from HQ - 2025-05</t>
  </si>
  <si>
    <t>Intercompany settlement paid to HQ - 2025-05</t>
  </si>
  <si>
    <t>Intercompany settlement received from branch 2 - 2025-05</t>
  </si>
  <si>
    <t>Shared services billed to branch 3 - 2025-05</t>
  </si>
  <si>
    <t>Intercompany settlement received from branch 3 - 2025-05</t>
  </si>
  <si>
    <t>2025-06-12</t>
  </si>
  <si>
    <t>MIA legal fees billed - 2025-06</t>
  </si>
  <si>
    <t>2025-06-24</t>
  </si>
  <si>
    <t>MIA client fee collections - 2025-06</t>
  </si>
  <si>
    <t>2025-06-16</t>
  </si>
  <si>
    <t>MIA direct case costs - 2025-06</t>
  </si>
  <si>
    <t>2025-06-30</t>
  </si>
  <si>
    <t>MIA payroll run - 2025-06</t>
  </si>
  <si>
    <t>2025-06-02</t>
  </si>
  <si>
    <t>MIA office rent - 2025-06</t>
  </si>
  <si>
    <t>2025-06-18</t>
  </si>
  <si>
    <t>MIA marketing spend - 2025-06</t>
  </si>
  <si>
    <t>MIA malpractice insurance amortization - 2025-06</t>
  </si>
  <si>
    <t>2025-06-09</t>
  </si>
  <si>
    <t>MIA software &amp; IT subscriptions - 2025-06</t>
  </si>
  <si>
    <t>MIA monthly depreciation - 2025-06</t>
  </si>
  <si>
    <t>2025-06-05</t>
  </si>
  <si>
    <t>MIA AP payment run (prior month invoices) - 2025-06</t>
  </si>
  <si>
    <t>CHI legal fees billed - 2025-06</t>
  </si>
  <si>
    <t>CHI client fee collections - 2025-06</t>
  </si>
  <si>
    <t>CHI direct case costs - 2025-06</t>
  </si>
  <si>
    <t>CHI payroll run - 2025-06</t>
  </si>
  <si>
    <t>CHI office rent - 2025-06</t>
  </si>
  <si>
    <t>CHI marketing spend - 2025-06</t>
  </si>
  <si>
    <t>CHI malpractice insurance amortization - 2025-06</t>
  </si>
  <si>
    <t>CHI software &amp; IT subscriptions - 2025-06</t>
  </si>
  <si>
    <t>CHI monthly depreciation - 2025-06</t>
  </si>
  <si>
    <t>CHI AP payment run (prior month invoices) - 2025-06</t>
  </si>
  <si>
    <t>DAL legal fees billed - 2025-06</t>
  </si>
  <si>
    <t>DAL client fee collections - 2025-06</t>
  </si>
  <si>
    <t>DAL direct case costs - 2025-06</t>
  </si>
  <si>
    <t>DAL payroll run - 2025-06</t>
  </si>
  <si>
    <t>DAL office rent - 2025-06</t>
  </si>
  <si>
    <t>DAL marketing spend - 2025-06</t>
  </si>
  <si>
    <t>DAL malpractice insurance amortization - 2025-06</t>
  </si>
  <si>
    <t>DAL software &amp; IT subscriptions - 2025-06</t>
  </si>
  <si>
    <t>DAL monthly depreciation - 2025-06</t>
  </si>
  <si>
    <t>DAL AP payment run (prior month invoices) - 2025-06</t>
  </si>
  <si>
    <t>2025-06-20</t>
  </si>
  <si>
    <t>Shared services billed to branch 2 - 2025-06</t>
  </si>
  <si>
    <t>Shared services allocation from HQ - 2025-06</t>
  </si>
  <si>
    <t>2025-06-25</t>
  </si>
  <si>
    <t>Intercompany settlement paid to HQ - 2025-06</t>
  </si>
  <si>
    <t>Intercompany settlement received from branch 2 - 2025-06</t>
  </si>
  <si>
    <t>Shared services billed to branch 3 - 2025-06</t>
  </si>
  <si>
    <t>Intercompany settlement received from branch 3 - 2025-06</t>
  </si>
  <si>
    <t>BankTxnID</t>
  </si>
  <si>
    <t>Amount</t>
  </si>
  <si>
    <t>Category</t>
  </si>
  <si>
    <t>MatchedTxnID</t>
  </si>
  <si>
    <t>Matched</t>
  </si>
  <si>
    <t>Monthly account service fee</t>
  </si>
  <si>
    <t>Unmatched - Book Adjustment Needed</t>
  </si>
  <si>
    <t>Interest income</t>
  </si>
  <si>
    <t>BudgetID</t>
  </si>
  <si>
    <t>BudgetAmount</t>
  </si>
  <si>
    <t>2024-06-01</t>
  </si>
  <si>
    <t>2024-09-01</t>
  </si>
  <si>
    <t>2024-12-01</t>
  </si>
  <si>
    <t>2025-02-01</t>
  </si>
  <si>
    <t>2025-03-01</t>
  </si>
  <si>
    <t>2025-06-01</t>
  </si>
  <si>
    <t>EntityID</t>
  </si>
  <si>
    <t>EntityName</t>
  </si>
  <si>
    <t>City</t>
  </si>
  <si>
    <t>EntityType</t>
  </si>
  <si>
    <t>ParentEntityID</t>
  </si>
  <si>
    <t>IsGroupHQ</t>
  </si>
  <si>
    <t>P&amp;V Miami (HQ)</t>
  </si>
  <si>
    <t>Miami, FL</t>
  </si>
  <si>
    <t>Office</t>
  </si>
  <si>
    <t>P&amp;V Chicago</t>
  </si>
  <si>
    <t>Chicago, IL</t>
  </si>
  <si>
    <t>P&amp;V Dallas</t>
  </si>
  <si>
    <t>Dallas, TX</t>
  </si>
  <si>
    <t>AccountID</t>
  </si>
  <si>
    <t>ParentAccountID</t>
  </si>
  <si>
    <t>NormalBalance</t>
  </si>
  <si>
    <t>Dashboard  -  KPI tiles and trend charts for the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</si>
</sst>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9C4F5D"/>
      <name val="Calibri"/>
      <family val="2"/>
    </font>
    <font>
      <sz val="10.5"/>
      <color rgb="FF3A2A30"/>
      <name val="Calibri"/>
      <family val="2"/>
    </font>
    <font>
      <b/>
      <sz val="11"/>
      <color rgb="FFFFFFFF"/>
      <name val="Calibri"/>
      <family val="2"/>
    </font>
    <font>
      <i/>
      <sz val="9.5"/>
      <color rgb="FF3A2A30"/>
      <name val="Calibri"/>
      <family val="2"/>
    </font>
    <font>
      <b/>
      <sz val="11"/>
      <color rgb="FF3A2A30"/>
      <name val="Calibri"/>
      <family val="2"/>
    </font>
    <font>
      <b/>
      <sz val="10.5"/>
      <color rgb="FF3A2A30"/>
      <name val="Calibri"/>
      <family val="2"/>
    </font>
    <font>
      <b/>
      <sz val="11.5"/>
      <color rgb="FFFFFFFF"/>
      <name val="Calibri"/>
      <family val="2"/>
    </font>
    <font>
      <b/>
      <sz val="9.5"/>
      <color rgb="FF3A2A30"/>
      <name val="Calibri"/>
      <family val="2"/>
    </font>
    <font>
      <b/>
      <sz val="20"/>
      <color rgb="FF9C4F5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C4F5D"/>
      </patternFill>
    </fill>
    <fill>
      <patternFill patternType="solid">
        <fgColor rgb="FF3A2A30"/>
      </patternFill>
    </fill>
    <fill>
      <patternFill patternType="solid">
        <fgColor rgb="FFE9CBC6"/>
      </patternFill>
    </fill>
    <fill>
      <patternFill patternType="solid">
        <fgColor rgb="FFC79A56"/>
      </patternFill>
    </fill>
    <fill>
      <patternFill patternType="solid">
        <fgColor rgb="FFFBF5F0"/>
      </patternFill>
    </fill>
  </fills>
  <borders count="2">
    <border>
      <left/>
      <right/>
      <top/>
      <bottom/>
      <diagonal/>
    </border>
    <border>
      <left style="thin">
        <color rgb="FFC9B8AE"/>
      </left>
      <right style="thin">
        <color rgb="FFC9B8AE"/>
      </right>
      <top style="thin">
        <color rgb="FFC9B8AE"/>
      </top>
      <bottom style="thin">
        <color rgb="FFC9B8A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/>
    <xf numFmtId="164" fontId="0" fillId="0" borderId="1" xfId="0" applyNumberFormat="1" applyBorder="1"/>
    <xf numFmtId="164" fontId="6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/>
    <xf numFmtId="0" fontId="7" fillId="0" borderId="0" xfId="0" applyFont="1" applyAlignment="1">
      <alignment vertical="center" wrapText="1"/>
    </xf>
    <xf numFmtId="164" fontId="7" fillId="4" borderId="0" xfId="0" applyNumberFormat="1" applyFont="1" applyFill="1"/>
    <xf numFmtId="0" fontId="3" fillId="0" borderId="0" xfId="0" applyFont="1"/>
    <xf numFmtId="164" fontId="0" fillId="0" borderId="0" xfId="0" applyNumberFormat="1"/>
    <xf numFmtId="164" fontId="6" fillId="0" borderId="0" xfId="0" applyNumberFormat="1" applyFont="1"/>
    <xf numFmtId="0" fontId="7" fillId="0" borderId="0" xfId="0" applyFont="1"/>
    <xf numFmtId="0" fontId="8" fillId="2" borderId="0" xfId="0" applyFont="1" applyFill="1"/>
    <xf numFmtId="164" fontId="8" fillId="2" borderId="0" xfId="0" applyNumberFormat="1" applyFont="1" applyFill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164" fontId="10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10" fillId="6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C7E3B0"/>
        </patternFill>
      </fill>
    </dxf>
    <dxf>
      <fill>
        <patternFill patternType="solid">
          <fgColor rgb="FFF0B3A8"/>
        </patternFill>
      </fill>
    </dxf>
    <dxf>
      <fill>
        <patternFill patternType="solid">
          <fgColor rgb="FFE6E0DC"/>
        </patternFill>
      </fill>
    </dxf>
    <dxf>
      <fill>
        <patternFill patternType="solid">
          <fgColor rgb="FFF0B3A8"/>
        </patternFill>
      </fill>
    </dxf>
    <dxf>
      <fill>
        <patternFill patternType="solid">
          <fgColor rgb="FFF5E1A0"/>
        </patternFill>
      </fill>
    </dxf>
    <dxf>
      <fill>
        <patternFill patternType="solid">
          <fgColor rgb="FFC7E3B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Trend by Office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Dashboard_Data!$B$1</c:f>
              <c:strCache>
                <c:ptCount val="1"/>
                <c:pt idx="0">
                  <c:v>MIA Revenue</c:v>
                </c:pt>
              </c:strCache>
            </c:strRef>
          </c:tx>
          <c:spPr>
            <a:ln w="22000">
              <a:solidFill>
                <a:srgbClr val="9C4F5D"/>
              </a:solidFill>
              <a:prstDash val="solid"/>
            </a:ln>
          </c:spPr>
          <c:marker>
            <c:symbol val="none"/>
          </c:marker>
          <c:cat>
            <c:strRef>
              <c:f>Dashboard_Data!$A$2:$A$19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Dashboard_Data!$B$2:$B$19</c:f>
              <c:numCache>
                <c:formatCode>General</c:formatCode>
                <c:ptCount val="18"/>
                <c:pt idx="0">
                  <c:v>95742</c:v>
                </c:pt>
                <c:pt idx="1">
                  <c:v>100782.2</c:v>
                </c:pt>
                <c:pt idx="2">
                  <c:v>102950.59</c:v>
                </c:pt>
                <c:pt idx="3">
                  <c:v>95294.77</c:v>
                </c:pt>
                <c:pt idx="4">
                  <c:v>95749.8</c:v>
                </c:pt>
                <c:pt idx="5">
                  <c:v>103409.88</c:v>
                </c:pt>
                <c:pt idx="6">
                  <c:v>100820.26000000001</c:v>
                </c:pt>
                <c:pt idx="7">
                  <c:v>91346.81</c:v>
                </c:pt>
                <c:pt idx="8">
                  <c:v>100145</c:v>
                </c:pt>
                <c:pt idx="9">
                  <c:v>92298.26</c:v>
                </c:pt>
                <c:pt idx="10">
                  <c:v>109251.23999999999</c:v>
                </c:pt>
                <c:pt idx="11">
                  <c:v>103579.05999999998</c:v>
                </c:pt>
                <c:pt idx="12">
                  <c:v>98795.78</c:v>
                </c:pt>
                <c:pt idx="13">
                  <c:v>112245.2</c:v>
                </c:pt>
                <c:pt idx="14">
                  <c:v>97351.1</c:v>
                </c:pt>
                <c:pt idx="15">
                  <c:v>117271.53</c:v>
                </c:pt>
                <c:pt idx="16">
                  <c:v>111681.60000000001</c:v>
                </c:pt>
                <c:pt idx="17">
                  <c:v>113863.1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5-4F77-87F9-4AC44A55584F}"/>
            </c:ext>
          </c:extLst>
        </c:ser>
        <c:ser>
          <c:idx val="1"/>
          <c:order val="1"/>
          <c:tx>
            <c:strRef>
              <c:f>Dashboard_Data!$C$1</c:f>
              <c:strCache>
                <c:ptCount val="1"/>
                <c:pt idx="0">
                  <c:v>CHI Revenue</c:v>
                </c:pt>
              </c:strCache>
            </c:strRef>
          </c:tx>
          <c:spPr>
            <a:ln w="22000">
              <a:solidFill>
                <a:srgbClr val="C79A56"/>
              </a:solidFill>
              <a:prstDash val="solid"/>
            </a:ln>
          </c:spPr>
          <c:marker>
            <c:symbol val="none"/>
          </c:marker>
          <c:cat>
            <c:strRef>
              <c:f>Dashboard_Data!$A$2:$A$19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Dashboard_Data!$C$2:$C$19</c:f>
              <c:numCache>
                <c:formatCode>General</c:formatCode>
                <c:ptCount val="18"/>
                <c:pt idx="0">
                  <c:v>51668.99</c:v>
                </c:pt>
                <c:pt idx="1">
                  <c:v>60024.829999999994</c:v>
                </c:pt>
                <c:pt idx="2">
                  <c:v>57700.350000000006</c:v>
                </c:pt>
                <c:pt idx="3">
                  <c:v>63097.16</c:v>
                </c:pt>
                <c:pt idx="4">
                  <c:v>58246.34</c:v>
                </c:pt>
                <c:pt idx="5">
                  <c:v>57739.020000000004</c:v>
                </c:pt>
                <c:pt idx="6">
                  <c:v>57150.03</c:v>
                </c:pt>
                <c:pt idx="7">
                  <c:v>66989.570000000007</c:v>
                </c:pt>
                <c:pt idx="8">
                  <c:v>68696.42</c:v>
                </c:pt>
                <c:pt idx="9">
                  <c:v>59973.02</c:v>
                </c:pt>
                <c:pt idx="10">
                  <c:v>67924.170000000013</c:v>
                </c:pt>
                <c:pt idx="11">
                  <c:v>67103.429999999993</c:v>
                </c:pt>
                <c:pt idx="12">
                  <c:v>71525.540000000008</c:v>
                </c:pt>
                <c:pt idx="13">
                  <c:v>64862.380000000005</c:v>
                </c:pt>
                <c:pt idx="14">
                  <c:v>63657.99</c:v>
                </c:pt>
                <c:pt idx="15">
                  <c:v>62085.39</c:v>
                </c:pt>
                <c:pt idx="16">
                  <c:v>66861.5</c:v>
                </c:pt>
                <c:pt idx="17">
                  <c:v>69904.78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5-4F77-87F9-4AC44A55584F}"/>
            </c:ext>
          </c:extLst>
        </c:ser>
        <c:ser>
          <c:idx val="2"/>
          <c:order val="2"/>
          <c:tx>
            <c:strRef>
              <c:f>Dashboard_Data!$D$1</c:f>
              <c:strCache>
                <c:ptCount val="1"/>
                <c:pt idx="0">
                  <c:v>DAL Revenue</c:v>
                </c:pt>
              </c:strCache>
            </c:strRef>
          </c:tx>
          <c:spPr>
            <a:ln w="22000">
              <a:solidFill>
                <a:srgbClr val="3A2A30"/>
              </a:solidFill>
              <a:prstDash val="solid"/>
            </a:ln>
          </c:spPr>
          <c:marker>
            <c:symbol val="none"/>
          </c:marker>
          <c:cat>
            <c:strRef>
              <c:f>Dashboard_Data!$A$2:$A$19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Dashboard_Data!$D$2:$D$19</c:f>
              <c:numCache>
                <c:formatCode>General</c:formatCode>
                <c:ptCount val="18"/>
                <c:pt idx="0">
                  <c:v>56195.700000000004</c:v>
                </c:pt>
                <c:pt idx="1">
                  <c:v>57234.04</c:v>
                </c:pt>
                <c:pt idx="2">
                  <c:v>57987.909999999989</c:v>
                </c:pt>
                <c:pt idx="3">
                  <c:v>57305.31</c:v>
                </c:pt>
                <c:pt idx="4">
                  <c:v>50225.279999999999</c:v>
                </c:pt>
                <c:pt idx="5">
                  <c:v>54002.929999999993</c:v>
                </c:pt>
                <c:pt idx="6">
                  <c:v>53821.700000000004</c:v>
                </c:pt>
                <c:pt idx="7">
                  <c:v>50656.969999999994</c:v>
                </c:pt>
                <c:pt idx="8">
                  <c:v>52956.27</c:v>
                </c:pt>
                <c:pt idx="9">
                  <c:v>58370.52</c:v>
                </c:pt>
                <c:pt idx="10">
                  <c:v>56021.86</c:v>
                </c:pt>
                <c:pt idx="11">
                  <c:v>56773.829999999994</c:v>
                </c:pt>
                <c:pt idx="12">
                  <c:v>61850.400000000001</c:v>
                </c:pt>
                <c:pt idx="13">
                  <c:v>58252.84</c:v>
                </c:pt>
                <c:pt idx="14">
                  <c:v>53455.700000000004</c:v>
                </c:pt>
                <c:pt idx="15">
                  <c:v>64897.020000000004</c:v>
                </c:pt>
                <c:pt idx="16">
                  <c:v>55419.71</c:v>
                </c:pt>
                <c:pt idx="17">
                  <c:v>57235.199999999997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5-4F77-87F9-4AC44A55584F}"/>
            </c:ext>
          </c:extLst>
        </c:ser>
        <c:ser>
          <c:idx val="3"/>
          <c:order val="3"/>
          <c:tx>
            <c:strRef>
              <c:f>Dashboard_Data!$E$1</c:f>
              <c:strCache>
                <c:ptCount val="1"/>
                <c:pt idx="0">
                  <c:v>Group Revenue</c:v>
                </c:pt>
              </c:strCache>
            </c:strRef>
          </c:tx>
          <c:spPr>
            <a:ln w="22000">
              <a:solidFill>
                <a:srgbClr val="5B8A72"/>
              </a:solidFill>
              <a:prstDash val="solid"/>
            </a:ln>
          </c:spPr>
          <c:marker>
            <c:symbol val="none"/>
          </c:marker>
          <c:cat>
            <c:strRef>
              <c:f>Dashboard_Data!$A$2:$A$19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Dashboard_Data!$E$2:$E$19</c:f>
              <c:numCache>
                <c:formatCode>General</c:formatCode>
                <c:ptCount val="18"/>
                <c:pt idx="0">
                  <c:v>203606.69</c:v>
                </c:pt>
                <c:pt idx="1">
                  <c:v>218041.07</c:v>
                </c:pt>
                <c:pt idx="2">
                  <c:v>218638.84999999998</c:v>
                </c:pt>
                <c:pt idx="3">
                  <c:v>215697.24</c:v>
                </c:pt>
                <c:pt idx="4">
                  <c:v>204221.42</c:v>
                </c:pt>
                <c:pt idx="5">
                  <c:v>215151.83000000002</c:v>
                </c:pt>
                <c:pt idx="6">
                  <c:v>211791.99000000002</c:v>
                </c:pt>
                <c:pt idx="7">
                  <c:v>208993.35</c:v>
                </c:pt>
                <c:pt idx="8">
                  <c:v>221797.68999999997</c:v>
                </c:pt>
                <c:pt idx="9">
                  <c:v>210641.8</c:v>
                </c:pt>
                <c:pt idx="10">
                  <c:v>233197.27000000002</c:v>
                </c:pt>
                <c:pt idx="11">
                  <c:v>227456.31999999998</c:v>
                </c:pt>
                <c:pt idx="12">
                  <c:v>232171.72</c:v>
                </c:pt>
                <c:pt idx="13">
                  <c:v>235360.42</c:v>
                </c:pt>
                <c:pt idx="14">
                  <c:v>214464.79</c:v>
                </c:pt>
                <c:pt idx="15">
                  <c:v>244253.94</c:v>
                </c:pt>
                <c:pt idx="16">
                  <c:v>233962.81</c:v>
                </c:pt>
                <c:pt idx="17">
                  <c:v>241003.08000000002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5-4F77-87F9-4AC44A555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145441176470591"/>
          <c:y val="0.24848580246913579"/>
          <c:w val="0.15816977124183007"/>
          <c:h val="0.2521641975308642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vs. Actual by Office (COGS + Opex, 2025-06)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Dashboard_Data!$B$22</c:f>
              <c:strCache>
                <c:ptCount val="1"/>
                <c:pt idx="0">
                  <c:v>Total Budget (COGS+Opex)</c:v>
                </c:pt>
              </c:strCache>
            </c:strRef>
          </c:tx>
          <c:spPr>
            <a:solidFill>
              <a:srgbClr val="C79A56"/>
            </a:solidFill>
            <a:ln>
              <a:prstDash val="solid"/>
            </a:ln>
          </c:spPr>
          <c:invertIfNegative val="1"/>
          <c:cat>
            <c:strRef>
              <c:f>Dashboard_Data!$A$23:$A$25</c:f>
              <c:strCache>
                <c:ptCount val="3"/>
                <c:pt idx="0">
                  <c:v>MIA</c:v>
                </c:pt>
                <c:pt idx="1">
                  <c:v>CHI</c:v>
                </c:pt>
                <c:pt idx="2">
                  <c:v>DAL</c:v>
                </c:pt>
              </c:strCache>
            </c:strRef>
          </c:cat>
          <c:val>
            <c:numRef>
              <c:f>Dashboard_Data!$B$23:$B$25</c:f>
              <c:numCache>
                <c:formatCode>General</c:formatCode>
                <c:ptCount val="3"/>
                <c:pt idx="0">
                  <c:v>182255.35000000003</c:v>
                </c:pt>
                <c:pt idx="1">
                  <c:v>116491.22000000002</c:v>
                </c:pt>
                <c:pt idx="2">
                  <c:v>97555.94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2D-4C5A-A5BF-32477D6A6A5E}"/>
            </c:ext>
          </c:extLst>
        </c:ser>
        <c:ser>
          <c:idx val="1"/>
          <c:order val="1"/>
          <c:tx>
            <c:strRef>
              <c:f>Dashboard_Data!$C$22</c:f>
              <c:strCache>
                <c:ptCount val="1"/>
                <c:pt idx="0">
                  <c:v>Total Actual (COGS+Opex)</c:v>
                </c:pt>
              </c:strCache>
            </c:strRef>
          </c:tx>
          <c:spPr>
            <a:solidFill>
              <a:srgbClr val="9C4F5D"/>
            </a:solidFill>
            <a:ln>
              <a:prstDash val="solid"/>
            </a:ln>
          </c:spPr>
          <c:invertIfNegative val="1"/>
          <c:cat>
            <c:strRef>
              <c:f>Dashboard_Data!$A$23:$A$25</c:f>
              <c:strCache>
                <c:ptCount val="3"/>
                <c:pt idx="0">
                  <c:v>MIA</c:v>
                </c:pt>
                <c:pt idx="1">
                  <c:v>CHI</c:v>
                </c:pt>
                <c:pt idx="2">
                  <c:v>DAL</c:v>
                </c:pt>
              </c:strCache>
            </c:strRef>
          </c:cat>
          <c:val>
            <c:numRef>
              <c:f>Dashboard_Data!$C$23:$C$25</c:f>
              <c:numCache>
                <c:formatCode>General</c:formatCode>
                <c:ptCount val="3"/>
                <c:pt idx="0">
                  <c:v>185812.48000000001</c:v>
                </c:pt>
                <c:pt idx="1">
                  <c:v>118265.53</c:v>
                </c:pt>
                <c:pt idx="2">
                  <c:v>99997.859999999986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2D-4C5A-A5BF-32477D6A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>
            <c:manualLayout>
              <c:xMode val="edge"/>
              <c:yMode val="edge"/>
              <c:x val="3.5277777777777776E-2"/>
              <c:y val="0.87333858024691358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433730158730151"/>
          <c:y val="0.16257623456790124"/>
          <c:w val="0.31786507936507935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Group Expense Breakdown — 2025-06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38951192810457519"/>
          <c:y val="0.10589038634321653"/>
          <c:w val="0.54036830065359476"/>
          <c:h val="0.8026361904761905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9C4F5D"/>
            </a:solidFill>
            <a:ln>
              <a:prstDash val="solid"/>
            </a:ln>
          </c:spPr>
          <c:invertIfNegative val="1"/>
          <c:cat>
            <c:strRef>
              <c:f>Consolidation!$A$10:$A$17</c:f>
              <c:strCache>
                <c:ptCount val="8"/>
                <c:pt idx="0">
                  <c:v>Attorney &amp; Staff Payroll</c:v>
                </c:pt>
                <c:pt idx="1">
                  <c:v>Payroll Taxes &amp; Benefits</c:v>
                </c:pt>
                <c:pt idx="2">
                  <c:v>Office Rent</c:v>
                </c:pt>
                <c:pt idx="3">
                  <c:v>Marketing &amp; Business Development</c:v>
                </c:pt>
                <c:pt idx="4">
                  <c:v>Professional Insurance</c:v>
                </c:pt>
                <c:pt idx="5">
                  <c:v>Software &amp; IT</c:v>
                </c:pt>
                <c:pt idx="6">
                  <c:v>Shared Services Allocation (Intercompany)</c:v>
                </c:pt>
                <c:pt idx="7">
                  <c:v>Depreciation Expense</c:v>
                </c:pt>
              </c:strCache>
            </c:strRef>
          </c:cat>
          <c:val>
            <c:numRef>
              <c:f>Consolidation!$E$10:$E$17</c:f>
              <c:numCache>
                <c:formatCode>#,##0.00;\(#,##0.00\)</c:formatCode>
                <c:ptCount val="8"/>
                <c:pt idx="0">
                  <c:v>107119.87999999999</c:v>
                </c:pt>
                <c:pt idx="1">
                  <c:v>14996.79</c:v>
                </c:pt>
                <c:pt idx="2">
                  <c:v>16010.26</c:v>
                </c:pt>
                <c:pt idx="3">
                  <c:v>6962.3899999999994</c:v>
                </c:pt>
                <c:pt idx="4">
                  <c:v>3146.5</c:v>
                </c:pt>
                <c:pt idx="5">
                  <c:v>5331.6900000000005</c:v>
                </c:pt>
                <c:pt idx="6">
                  <c:v>7118.28</c:v>
                </c:pt>
                <c:pt idx="7">
                  <c:v>2387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4D-43F2-B384-D59129845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#,##0.00;\(#,##0.00\)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238125</xdr:colOff>
      <xdr:row>6</xdr:row>
      <xdr:rowOff>171450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666750</xdr:colOff>
      <xdr:row>7</xdr:row>
      <xdr:rowOff>19050</xdr:rowOff>
    </xdr:from>
    <xdr:ext cx="5772150" cy="31828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Q_GL_Data" displayName="PQ_GL_Data" ref="A1:N1787">
  <autoFilter ref="A1:N1787" xr:uid="{00000000-0009-0000-0100-000001000000}"/>
  <tableColumns count="14">
    <tableColumn id="1" xr3:uid="{00000000-0010-0000-0000-000001000000}" name="TxnID"/>
    <tableColumn id="2" xr3:uid="{00000000-0010-0000-0000-000002000000}" name="JournalID"/>
    <tableColumn id="3" xr3:uid="{00000000-0010-0000-0000-000003000000}" name="EntityCode"/>
    <tableColumn id="4" xr3:uid="{00000000-0010-0000-0000-000004000000}" name="Date"/>
    <tableColumn id="5" xr3:uid="{00000000-0010-0000-0000-000005000000}" name="AccountCode"/>
    <tableColumn id="6" xr3:uid="{00000000-0010-0000-0000-000006000000}" name="AccountName"/>
    <tableColumn id="7" xr3:uid="{00000000-0010-0000-0000-000007000000}" name="AccountType"/>
    <tableColumn id="8" xr3:uid="{00000000-0010-0000-0000-000008000000}" name="IsIntercompany"/>
    <tableColumn id="9" xr3:uid="{00000000-0010-0000-0000-000009000000}" name="Debit"/>
    <tableColumn id="10" xr3:uid="{00000000-0010-0000-0000-00000A000000}" name="Credit"/>
    <tableColumn id="11" xr3:uid="{00000000-0010-0000-0000-00000B000000}" name="Description"/>
    <tableColumn id="12" xr3:uid="{00000000-0010-0000-0000-00000C000000}" name="Source"/>
    <tableColumn id="13" xr3:uid="{00000000-0010-0000-0000-00000D000000}" name="CounterpartyEntity"/>
    <tableColumn id="14" xr3:uid="{00000000-0010-0000-0000-00000E000000}" name="MonthKe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Q_Bank_Data" displayName="PQ_Bank_Data" ref="A1:H447">
  <autoFilter ref="A1:H447" xr:uid="{00000000-0009-0000-0100-000002000000}"/>
  <tableColumns count="8">
    <tableColumn id="1" xr3:uid="{00000000-0010-0000-0100-000001000000}" name="BankTxnID"/>
    <tableColumn id="2" xr3:uid="{00000000-0010-0000-0100-000002000000}" name="EntityCode"/>
    <tableColumn id="3" xr3:uid="{00000000-0010-0000-0100-000003000000}" name="Date"/>
    <tableColumn id="4" xr3:uid="{00000000-0010-0000-0100-000004000000}" name="Amount"/>
    <tableColumn id="5" xr3:uid="{00000000-0010-0000-0100-000005000000}" name="Description"/>
    <tableColumn id="6" xr3:uid="{00000000-0010-0000-0100-000006000000}" name="Category"/>
    <tableColumn id="7" xr3:uid="{00000000-0010-0000-0100-000007000000}" name="MatchedTxnID"/>
    <tableColumn id="8" xr3:uid="{00000000-0010-0000-0100-000008000000}" name="MonthKe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Q_Budget_Data" displayName="PQ_Budget_Data" ref="A1:G577">
  <autoFilter ref="A1:G577" xr:uid="{00000000-0009-0000-0100-000003000000}"/>
  <tableColumns count="7">
    <tableColumn id="1" xr3:uid="{00000000-0010-0000-0200-000001000000}" name="BudgetID"/>
    <tableColumn id="2" xr3:uid="{00000000-0010-0000-0200-000002000000}" name="EntityCode"/>
    <tableColumn id="3" xr3:uid="{00000000-0010-0000-0200-000003000000}" name="Month"/>
    <tableColumn id="4" xr3:uid="{00000000-0010-0000-0200-000004000000}" name="AccountCode"/>
    <tableColumn id="5" xr3:uid="{00000000-0010-0000-0200-000005000000}" name="AccountName"/>
    <tableColumn id="6" xr3:uid="{00000000-0010-0000-0200-000006000000}" name="BudgetAmount"/>
    <tableColumn id="7" xr3:uid="{00000000-0010-0000-0200-000007000000}" name="Month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Q_Entity_Dim" displayName="PQ_Entity_Dim" ref="A1:G4">
  <autoFilter ref="A1:G4" xr:uid="{00000000-0009-0000-0100-000004000000}"/>
  <tableColumns count="7">
    <tableColumn id="1" xr3:uid="{00000000-0010-0000-0300-000001000000}" name="EntityID"/>
    <tableColumn id="2" xr3:uid="{00000000-0010-0000-0300-000002000000}" name="EntityCode"/>
    <tableColumn id="3" xr3:uid="{00000000-0010-0000-0300-000003000000}" name="EntityName"/>
    <tableColumn id="4" xr3:uid="{00000000-0010-0000-0300-000004000000}" name="City"/>
    <tableColumn id="5" xr3:uid="{00000000-0010-0000-0300-000005000000}" name="EntityType"/>
    <tableColumn id="6" xr3:uid="{00000000-0010-0000-0300-000006000000}" name="ParentEntityID"/>
    <tableColumn id="7" xr3:uid="{00000000-0010-0000-0300-000007000000}" name="IsGroupHQ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Q_Account_Dim" displayName="PQ_Account_Dim" ref="A1:G28">
  <autoFilter ref="A1:G28" xr:uid="{00000000-0009-0000-0100-000005000000}"/>
  <tableColumns count="7">
    <tableColumn id="1" xr3:uid="{00000000-0010-0000-0400-000001000000}" name="AccountID"/>
    <tableColumn id="2" xr3:uid="{00000000-0010-0000-0400-000002000000}" name="AccountCode"/>
    <tableColumn id="3" xr3:uid="{00000000-0010-0000-0400-000003000000}" name="AccountName"/>
    <tableColumn id="4" xr3:uid="{00000000-0010-0000-0400-000004000000}" name="AccountType"/>
    <tableColumn id="5" xr3:uid="{00000000-0010-0000-0400-000005000000}" name="ParentAccountID"/>
    <tableColumn id="6" xr3:uid="{00000000-0010-0000-0400-000006000000}" name="IsIntercompany"/>
    <tableColumn id="7" xr3:uid="{00000000-0010-0000-0400-000007000000}" name="NormalBal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4F5D"/>
  </sheetPr>
  <dimension ref="A1:B38"/>
  <sheetViews>
    <sheetView showGridLines="0" tabSelected="1" topLeftCell="A2" workbookViewId="0">
      <selection activeCell="B11" sqref="B11"/>
    </sheetView>
  </sheetViews>
  <sheetFormatPr defaultRowHeight="14.25" x14ac:dyDescent="0.45"/>
  <cols>
    <col min="1" max="1" width="3" customWidth="1"/>
    <col min="2" max="2" width="100" customWidth="1"/>
  </cols>
  <sheetData>
    <row r="1" spans="1:2" ht="30" customHeight="1" x14ac:dyDescent="0.45">
      <c r="A1" s="25" t="s">
        <v>6</v>
      </c>
      <c r="B1" s="26"/>
    </row>
    <row r="2" spans="1:2" ht="16.05" customHeight="1" x14ac:dyDescent="0.45"/>
    <row r="3" spans="1:2" ht="16.05" customHeight="1" x14ac:dyDescent="0.45"/>
    <row r="4" spans="1:2" ht="16.05" customHeight="1" x14ac:dyDescent="0.5">
      <c r="B4" s="1" t="s">
        <v>7</v>
      </c>
    </row>
    <row r="5" spans="1:2" ht="34.049999999999997" customHeight="1" x14ac:dyDescent="0.45">
      <c r="B5" s="2" t="s">
        <v>8</v>
      </c>
    </row>
    <row r="6" spans="1:2" ht="16.05" customHeight="1" x14ac:dyDescent="0.45"/>
    <row r="7" spans="1:2" ht="16.05" customHeight="1" x14ac:dyDescent="0.5">
      <c r="B7" s="1" t="s">
        <v>9</v>
      </c>
    </row>
    <row r="8" spans="1:2" ht="34.049999999999997" customHeight="1" x14ac:dyDescent="0.45">
      <c r="B8" s="2" t="s">
        <v>10</v>
      </c>
    </row>
    <row r="9" spans="1:2" ht="34.049999999999997" customHeight="1" x14ac:dyDescent="0.45">
      <c r="B9" s="2" t="s">
        <v>11</v>
      </c>
    </row>
    <row r="10" spans="1:2" ht="34.049999999999997" customHeight="1" x14ac:dyDescent="0.45">
      <c r="B10" s="2" t="s">
        <v>12</v>
      </c>
    </row>
    <row r="11" spans="1:2" ht="34.049999999999997" customHeight="1" x14ac:dyDescent="0.45">
      <c r="B11" s="2" t="s">
        <v>13</v>
      </c>
    </row>
    <row r="12" spans="1:2" ht="34.049999999999997" customHeight="1" x14ac:dyDescent="0.45">
      <c r="B12" s="2" t="s">
        <v>14</v>
      </c>
    </row>
    <row r="13" spans="1:2" ht="34.049999999999997" customHeight="1" x14ac:dyDescent="0.45">
      <c r="B13" s="2" t="s">
        <v>15</v>
      </c>
    </row>
    <row r="14" spans="1:2" ht="34.049999999999997" customHeight="1" x14ac:dyDescent="0.45">
      <c r="B14" s="2" t="s">
        <v>1088</v>
      </c>
    </row>
    <row r="15" spans="1:2" ht="16.05" customHeight="1" x14ac:dyDescent="0.45"/>
    <row r="16" spans="1:2" ht="16.05" customHeight="1" x14ac:dyDescent="0.5">
      <c r="B16" s="1" t="s">
        <v>16</v>
      </c>
    </row>
    <row r="17" spans="2:2" ht="34.049999999999997" customHeight="1" x14ac:dyDescent="0.45">
      <c r="B17" s="2" t="s">
        <v>17</v>
      </c>
    </row>
    <row r="18" spans="2:2" ht="34.049999999999997" customHeight="1" x14ac:dyDescent="0.45">
      <c r="B18" s="2" t="s">
        <v>18</v>
      </c>
    </row>
    <row r="19" spans="2:2" ht="34.049999999999997" customHeight="1" x14ac:dyDescent="0.45">
      <c r="B19" s="2" t="s">
        <v>19</v>
      </c>
    </row>
    <row r="20" spans="2:2" ht="34.049999999999997" customHeight="1" x14ac:dyDescent="0.45">
      <c r="B20" s="2" t="s">
        <v>20</v>
      </c>
    </row>
    <row r="21" spans="2:2" ht="34.049999999999997" customHeight="1" x14ac:dyDescent="0.45">
      <c r="B21" s="2" t="s">
        <v>21</v>
      </c>
    </row>
    <row r="22" spans="2:2" ht="16.05" customHeight="1" x14ac:dyDescent="0.45"/>
    <row r="23" spans="2:2" ht="16.05" customHeight="1" x14ac:dyDescent="0.45"/>
    <row r="24" spans="2:2" ht="16.05" customHeight="1" x14ac:dyDescent="0.45"/>
    <row r="25" spans="2:2" ht="16.05" customHeight="1" x14ac:dyDescent="0.45"/>
    <row r="26" spans="2:2" ht="16.05" customHeight="1" x14ac:dyDescent="0.45"/>
    <row r="27" spans="2:2" ht="16.05" customHeight="1" x14ac:dyDescent="0.45"/>
    <row r="28" spans="2:2" ht="16.05" customHeight="1" x14ac:dyDescent="0.45"/>
    <row r="29" spans="2:2" ht="16.05" customHeight="1" x14ac:dyDescent="0.45"/>
    <row r="30" spans="2:2" ht="16.05" customHeight="1" x14ac:dyDescent="0.45"/>
    <row r="31" spans="2:2" ht="16.05" customHeight="1" x14ac:dyDescent="0.45"/>
    <row r="32" spans="2:2" ht="16.05" customHeight="1" x14ac:dyDescent="0.45"/>
    <row r="33" ht="16.05" customHeight="1" x14ac:dyDescent="0.45"/>
    <row r="34" ht="16.05" customHeight="1" x14ac:dyDescent="0.45"/>
    <row r="35" ht="16.05" customHeight="1" x14ac:dyDescent="0.45"/>
    <row r="36" ht="16.05" customHeight="1" x14ac:dyDescent="0.45"/>
    <row r="37" ht="16.05" customHeight="1" x14ac:dyDescent="0.45"/>
    <row r="38" ht="16.05" customHeight="1" x14ac:dyDescent="0.45"/>
  </sheetData>
  <mergeCells count="1">
    <mergeCell ref="A1:B1"/>
  </mergeCells>
  <pageMargins left="0.75" right="0.75" top="1" bottom="1" header="0.5" footer="0.5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4F5D"/>
  </sheetPr>
  <dimension ref="A1:J5"/>
  <sheetViews>
    <sheetView showGridLines="0" workbookViewId="0">
      <selection activeCell="P29" sqref="P29"/>
    </sheetView>
  </sheetViews>
  <sheetFormatPr defaultRowHeight="14.25" x14ac:dyDescent="0.45"/>
  <cols>
    <col min="1" max="10" width="13" customWidth="1"/>
  </cols>
  <sheetData>
    <row r="1" spans="1:10" ht="30" customHeight="1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20" customHeight="1" x14ac:dyDescent="0.45">
      <c r="A3" s="31" t="s">
        <v>1</v>
      </c>
      <c r="B3" s="28"/>
      <c r="C3" s="31" t="s">
        <v>2</v>
      </c>
      <c r="D3" s="28"/>
      <c r="E3" s="31" t="s">
        <v>3</v>
      </c>
      <c r="F3" s="28"/>
      <c r="G3" s="31" t="s">
        <v>4</v>
      </c>
      <c r="H3" s="28"/>
      <c r="I3" s="31" t="s">
        <v>5</v>
      </c>
      <c r="J3" s="28"/>
    </row>
    <row r="4" spans="1:10" ht="30" customHeight="1" x14ac:dyDescent="0.45">
      <c r="A4" s="27">
        <f>Consolidation!E25</f>
        <v>241003.08000000002</v>
      </c>
      <c r="B4" s="28"/>
      <c r="C4" s="27">
        <f>Consolidation!E28</f>
        <v>60162.380000000005</v>
      </c>
      <c r="D4" s="28"/>
      <c r="E4" s="29">
        <f>Consolidation!E28/Consolidation!E25</f>
        <v>0.24963324120173069</v>
      </c>
      <c r="F4" s="28"/>
      <c r="G4" s="30">
        <f>COUNTIFS(PQ_Bank_Data!$H:$H,"2025-06",PQ_Bank_Data!$F:$F,"Unmatched - Book Adjustment Needed")+SUMPRODUCT(--(Bank_Reconciliation!$B$9:$D$9&lt;&gt;0))</f>
        <v>9</v>
      </c>
      <c r="H4" s="28"/>
      <c r="I4" s="27">
        <f>INDEX(Budget_vs_Actual!$E:$E,MATCH(1,Budget_vs_Actual!$G:$G,0))</f>
        <v>1648.6999999999971</v>
      </c>
      <c r="J4" s="28"/>
    </row>
    <row r="5" spans="1:10" x14ac:dyDescent="0.45">
      <c r="A5" s="28"/>
      <c r="B5" s="28"/>
      <c r="C5" s="28"/>
      <c r="D5" s="28"/>
      <c r="E5" s="28"/>
      <c r="F5" s="28"/>
      <c r="G5" s="28"/>
      <c r="H5" s="28"/>
      <c r="I5" s="28"/>
      <c r="J5" s="28"/>
    </row>
  </sheetData>
  <mergeCells count="11">
    <mergeCell ref="A1:J1"/>
    <mergeCell ref="A4:B5"/>
    <mergeCell ref="C4:D5"/>
    <mergeCell ref="E4:F5"/>
    <mergeCell ref="G4:H5"/>
    <mergeCell ref="I4:J5"/>
    <mergeCell ref="C3:D3"/>
    <mergeCell ref="A3:B3"/>
    <mergeCell ref="G3:H3"/>
    <mergeCell ref="E3:F3"/>
    <mergeCell ref="I3:J3"/>
  </mergeCells>
  <pageMargins left="0.75" right="0.75" top="1" bottom="1" header="0.5" footer="0.5"/>
  <headerFooter>
    <oddFooter>&amp;R_x000D_&amp;1#&amp;"Aptos"&amp;8&amp;K000000 Cisco Confidential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4F5D"/>
  </sheetPr>
  <dimension ref="A1:F20"/>
  <sheetViews>
    <sheetView showGridLines="0" workbookViewId="0">
      <pane ySplit="3" topLeftCell="A4" activePane="bottomLeft" state="frozen"/>
      <selection pane="bottomLeft" sqref="A1:F1"/>
    </sheetView>
  </sheetViews>
  <sheetFormatPr defaultRowHeight="14.25" x14ac:dyDescent="0.45"/>
  <cols>
    <col min="1" max="1" width="4" customWidth="1"/>
    <col min="2" max="2" width="42" customWidth="1"/>
    <col min="3" max="5" width="16" customWidth="1"/>
    <col min="6" max="6" width="14" customWidth="1"/>
  </cols>
  <sheetData>
    <row r="1" spans="1:6" ht="26" customHeight="1" x14ac:dyDescent="0.45">
      <c r="A1" s="25" t="s">
        <v>22</v>
      </c>
      <c r="B1" s="26"/>
      <c r="C1" s="26"/>
      <c r="D1" s="26"/>
      <c r="E1" s="26"/>
      <c r="F1" s="26"/>
    </row>
    <row r="3" spans="1:6" ht="28.5" x14ac:dyDescent="0.4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spans="1:6" x14ac:dyDescent="0.45">
      <c r="A4" s="4">
        <v>1</v>
      </c>
      <c r="B4" s="5" t="s">
        <v>29</v>
      </c>
      <c r="C4" s="6" t="s">
        <v>30</v>
      </c>
      <c r="D4" s="6" t="s">
        <v>31</v>
      </c>
      <c r="E4" s="4" t="s">
        <v>32</v>
      </c>
      <c r="F4" s="4" t="s">
        <v>33</v>
      </c>
    </row>
    <row r="5" spans="1:6" x14ac:dyDescent="0.45">
      <c r="A5" s="4">
        <v>2</v>
      </c>
      <c r="B5" s="5" t="s">
        <v>34</v>
      </c>
      <c r="C5" s="6" t="s">
        <v>30</v>
      </c>
      <c r="D5" s="6" t="s">
        <v>35</v>
      </c>
      <c r="E5" s="4" t="s">
        <v>36</v>
      </c>
      <c r="F5" s="4" t="s">
        <v>33</v>
      </c>
    </row>
    <row r="6" spans="1:6" x14ac:dyDescent="0.45">
      <c r="A6" s="4">
        <v>3</v>
      </c>
      <c r="B6" s="5" t="s">
        <v>37</v>
      </c>
      <c r="C6" s="6" t="s">
        <v>30</v>
      </c>
      <c r="D6" s="6" t="s">
        <v>35</v>
      </c>
      <c r="E6" s="4" t="s">
        <v>38</v>
      </c>
      <c r="F6" s="4" t="s">
        <v>33</v>
      </c>
    </row>
    <row r="7" spans="1:6" x14ac:dyDescent="0.45">
      <c r="A7" s="4">
        <v>4</v>
      </c>
      <c r="B7" s="5" t="s">
        <v>39</v>
      </c>
      <c r="C7" s="6" t="s">
        <v>30</v>
      </c>
      <c r="D7" s="6" t="s">
        <v>35</v>
      </c>
      <c r="E7" s="4" t="s">
        <v>38</v>
      </c>
      <c r="F7" s="4" t="s">
        <v>33</v>
      </c>
    </row>
    <row r="8" spans="1:6" x14ac:dyDescent="0.45">
      <c r="A8" s="4">
        <v>5</v>
      </c>
      <c r="B8" s="5" t="s">
        <v>40</v>
      </c>
      <c r="C8" s="6" t="s">
        <v>30</v>
      </c>
      <c r="D8" s="6" t="s">
        <v>35</v>
      </c>
      <c r="E8" s="4" t="s">
        <v>38</v>
      </c>
      <c r="F8" s="4" t="s">
        <v>33</v>
      </c>
    </row>
    <row r="9" spans="1:6" x14ac:dyDescent="0.45">
      <c r="A9" s="4">
        <v>6</v>
      </c>
      <c r="B9" s="5" t="s">
        <v>41</v>
      </c>
      <c r="C9" s="6" t="s">
        <v>42</v>
      </c>
      <c r="D9" s="6" t="s">
        <v>35</v>
      </c>
      <c r="E9" s="4" t="s">
        <v>43</v>
      </c>
      <c r="F9" s="4" t="s">
        <v>33</v>
      </c>
    </row>
    <row r="10" spans="1:6" x14ac:dyDescent="0.45">
      <c r="A10" s="4">
        <v>7</v>
      </c>
      <c r="B10" s="5" t="s">
        <v>44</v>
      </c>
      <c r="C10" s="6" t="s">
        <v>45</v>
      </c>
      <c r="D10" s="6" t="s">
        <v>35</v>
      </c>
      <c r="E10" s="4" t="s">
        <v>46</v>
      </c>
      <c r="F10" s="4" t="s">
        <v>33</v>
      </c>
    </row>
    <row r="11" spans="1:6" x14ac:dyDescent="0.45">
      <c r="A11" s="4">
        <v>8</v>
      </c>
      <c r="B11" s="5" t="s">
        <v>47</v>
      </c>
      <c r="C11" s="6" t="s">
        <v>30</v>
      </c>
      <c r="D11" s="6" t="s">
        <v>35</v>
      </c>
      <c r="E11" s="4" t="s">
        <v>46</v>
      </c>
      <c r="F11" s="4" t="s">
        <v>48</v>
      </c>
    </row>
    <row r="12" spans="1:6" ht="27.75" x14ac:dyDescent="0.45">
      <c r="A12" s="4">
        <v>9</v>
      </c>
      <c r="B12" s="5" t="s">
        <v>49</v>
      </c>
      <c r="C12" s="6" t="s">
        <v>30</v>
      </c>
      <c r="D12" s="6" t="s">
        <v>35</v>
      </c>
      <c r="E12" s="4" t="s">
        <v>46</v>
      </c>
      <c r="F12" s="4" t="s">
        <v>50</v>
      </c>
    </row>
    <row r="13" spans="1:6" x14ac:dyDescent="0.45">
      <c r="A13" s="4">
        <v>10</v>
      </c>
      <c r="B13" s="5" t="s">
        <v>51</v>
      </c>
      <c r="C13" s="6" t="s">
        <v>52</v>
      </c>
      <c r="D13" s="6" t="s">
        <v>53</v>
      </c>
      <c r="E13" s="4" t="s">
        <v>54</v>
      </c>
      <c r="F13" s="4" t="s">
        <v>50</v>
      </c>
    </row>
    <row r="14" spans="1:6" x14ac:dyDescent="0.45">
      <c r="A14" s="4">
        <v>11</v>
      </c>
      <c r="B14" s="5" t="s">
        <v>55</v>
      </c>
      <c r="C14" s="6" t="s">
        <v>56</v>
      </c>
      <c r="D14" s="6" t="s">
        <v>53</v>
      </c>
      <c r="E14" s="4" t="s">
        <v>54</v>
      </c>
      <c r="F14" s="4" t="s">
        <v>50</v>
      </c>
    </row>
    <row r="15" spans="1:6" x14ac:dyDescent="0.45">
      <c r="A15" s="4">
        <v>12</v>
      </c>
      <c r="B15" s="5" t="s">
        <v>57</v>
      </c>
      <c r="C15" s="6" t="s">
        <v>30</v>
      </c>
      <c r="D15" s="6" t="s">
        <v>58</v>
      </c>
      <c r="E15" s="4" t="s">
        <v>59</v>
      </c>
      <c r="F15" s="4" t="s">
        <v>60</v>
      </c>
    </row>
    <row r="16" spans="1:6" x14ac:dyDescent="0.45">
      <c r="A16" s="4">
        <v>13</v>
      </c>
      <c r="B16" s="5" t="s">
        <v>61</v>
      </c>
      <c r="C16" s="6" t="s">
        <v>56</v>
      </c>
      <c r="D16" s="6" t="s">
        <v>62</v>
      </c>
      <c r="E16" s="4" t="s">
        <v>63</v>
      </c>
      <c r="F16" s="4" t="s">
        <v>50</v>
      </c>
    </row>
    <row r="17" spans="1:6" x14ac:dyDescent="0.45">
      <c r="A17" s="4">
        <v>14</v>
      </c>
      <c r="B17" s="5" t="s">
        <v>64</v>
      </c>
      <c r="C17" s="6" t="s">
        <v>30</v>
      </c>
      <c r="D17" s="6" t="s">
        <v>53</v>
      </c>
      <c r="E17" s="4" t="s">
        <v>65</v>
      </c>
      <c r="F17" s="4" t="s">
        <v>50</v>
      </c>
    </row>
    <row r="18" spans="1:6" x14ac:dyDescent="0.45">
      <c r="A18" s="4">
        <v>15</v>
      </c>
      <c r="B18" s="5" t="s">
        <v>66</v>
      </c>
      <c r="C18" s="6" t="s">
        <v>56</v>
      </c>
      <c r="D18" s="6" t="s">
        <v>53</v>
      </c>
      <c r="E18" s="4" t="s">
        <v>65</v>
      </c>
      <c r="F18" s="4" t="s">
        <v>50</v>
      </c>
    </row>
    <row r="20" spans="1:6" x14ac:dyDescent="0.45">
      <c r="B20" s="7" t="s">
        <v>67</v>
      </c>
    </row>
  </sheetData>
  <mergeCells count="1">
    <mergeCell ref="A1:F1"/>
  </mergeCells>
  <conditionalFormatting sqref="F4:F18">
    <cfRule type="cellIs" dxfId="5" priority="1" operator="equal">
      <formula>"Complete"</formula>
    </cfRule>
    <cfRule type="cellIs" dxfId="4" priority="2" operator="equal">
      <formula>"In Progress"</formula>
    </cfRule>
    <cfRule type="cellIs" dxfId="3" priority="3" operator="equal">
      <formula>"Blocked"</formula>
    </cfRule>
    <cfRule type="cellIs" dxfId="2" priority="4" operator="equal">
      <formula>"Not Started"</formula>
    </cfRule>
  </conditionalFormatting>
  <pageMargins left="0.75" right="0.75" top="1" bottom="1" header="0.5" footer="0.5"/>
  <headerFooter>
    <oddFooter>&amp;R_x000D_&amp;1#&amp;"Aptos"&amp;8&amp;K000000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4F5D"/>
  </sheetPr>
  <dimension ref="A1:G30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F1"/>
    </sheetView>
  </sheetViews>
  <sheetFormatPr defaultRowHeight="14.25" x14ac:dyDescent="0.45"/>
  <cols>
    <col min="1" max="1" width="12" customWidth="1"/>
    <col min="2" max="2" width="34" customWidth="1"/>
    <col min="3" max="6" width="12" customWidth="1"/>
    <col min="7" max="7" width="13" customWidth="1"/>
  </cols>
  <sheetData>
    <row r="1" spans="1:7" ht="26" customHeight="1" x14ac:dyDescent="0.45">
      <c r="A1" s="25" t="s">
        <v>68</v>
      </c>
      <c r="B1" s="26"/>
      <c r="C1" s="26"/>
      <c r="D1" s="26"/>
      <c r="E1" s="26"/>
      <c r="F1" s="26"/>
    </row>
    <row r="3" spans="1:7" ht="28.5" x14ac:dyDescent="0.45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75</v>
      </c>
    </row>
    <row r="4" spans="1:7" x14ac:dyDescent="0.45">
      <c r="A4" s="8" t="s">
        <v>76</v>
      </c>
      <c r="B4" s="8" t="s">
        <v>77</v>
      </c>
      <c r="C4" s="8" t="s">
        <v>78</v>
      </c>
      <c r="D4" s="9">
        <f>SUMIFS(PQ_GL_Data!$I:$I,PQ_GL_Data!$C:$C,"MIA",PQ_GL_Data!$E:$E,"1000",PQ_GL_Data!$N:$N,"2025-06")-SUMIFS(PQ_GL_Data!$J:$J,PQ_GL_Data!$C:$C,"MIA",PQ_GL_Data!$E:$E,"1000",PQ_GL_Data!$N:$N,"2025-06")</f>
        <v>33024.53</v>
      </c>
      <c r="E4" s="9">
        <f>SUMIFS(PQ_GL_Data!$I:$I,PQ_GL_Data!$C:$C,"CHI",PQ_GL_Data!$E:$E,"1000",PQ_GL_Data!$N:$N,"2025-06")-SUMIFS(PQ_GL_Data!$J:$J,PQ_GL_Data!$C:$C,"CHI",PQ_GL_Data!$E:$E,"1000",PQ_GL_Data!$N:$N,"2025-06")</f>
        <v>10400.850000000006</v>
      </c>
      <c r="F4" s="9">
        <f>SUMIFS(PQ_GL_Data!$I:$I,PQ_GL_Data!$C:$C,"DAL",PQ_GL_Data!$E:$E,"1000",PQ_GL_Data!$N:$N,"2025-06")-SUMIFS(PQ_GL_Data!$J:$J,PQ_GL_Data!$C:$C,"DAL",PQ_GL_Data!$E:$E,"1000",PQ_GL_Data!$N:$N,"2025-06")</f>
        <v>7680.7300000000032</v>
      </c>
      <c r="G4" s="10">
        <f t="shared" ref="G4:G30" si="0">SUM(D4:F4)</f>
        <v>51106.110000000008</v>
      </c>
    </row>
    <row r="5" spans="1:7" x14ac:dyDescent="0.45">
      <c r="A5" s="8" t="s">
        <v>79</v>
      </c>
      <c r="B5" s="8" t="s">
        <v>80</v>
      </c>
      <c r="C5" s="8" t="s">
        <v>78</v>
      </c>
      <c r="D5" s="9">
        <f>SUMIFS(PQ_GL_Data!$I:$I,PQ_GL_Data!$C:$C,"MIA",PQ_GL_Data!$E:$E,"1100",PQ_GL_Data!$N:$N,"2025-06")-SUMIFS(PQ_GL_Data!$J:$J,PQ_GL_Data!$C:$C,"MIA",PQ_GL_Data!$E:$E,"1100",PQ_GL_Data!$N:$N,"2025-06")</f>
        <v>6868.8100000000122</v>
      </c>
      <c r="E5" s="9">
        <f>SUMIFS(PQ_GL_Data!$I:$I,PQ_GL_Data!$C:$C,"CHI",PQ_GL_Data!$E:$E,"1100",PQ_GL_Data!$N:$N,"2025-06")-SUMIFS(PQ_GL_Data!$J:$J,PQ_GL_Data!$C:$C,"CHI",PQ_GL_Data!$E:$E,"1100",PQ_GL_Data!$N:$N,"2025-06")</f>
        <v>5680.75</v>
      </c>
      <c r="F5" s="9">
        <f>SUMIFS(PQ_GL_Data!$I:$I,PQ_GL_Data!$C:$C,"DAL",PQ_GL_Data!$E:$E,"1100",PQ_GL_Data!$N:$N,"2025-06")-SUMIFS(PQ_GL_Data!$J:$J,PQ_GL_Data!$C:$C,"DAL",PQ_GL_Data!$E:$E,"1100",PQ_GL_Data!$N:$N,"2025-06")</f>
        <v>2407.1100000000006</v>
      </c>
      <c r="G5" s="10">
        <f t="shared" si="0"/>
        <v>14956.670000000013</v>
      </c>
    </row>
    <row r="6" spans="1:7" x14ac:dyDescent="0.45">
      <c r="A6" s="8" t="s">
        <v>81</v>
      </c>
      <c r="B6" s="8" t="s">
        <v>82</v>
      </c>
      <c r="C6" s="8" t="s">
        <v>78</v>
      </c>
      <c r="D6" s="9">
        <f>SUMIFS(PQ_GL_Data!$I:$I,PQ_GL_Data!$C:$C,"MIA",PQ_GL_Data!$E:$E,"1200",PQ_GL_Data!$N:$N,"2025-06")-SUMIFS(PQ_GL_Data!$J:$J,PQ_GL_Data!$C:$C,"MIA",PQ_GL_Data!$E:$E,"1200",PQ_GL_Data!$N:$N,"2025-06")</f>
        <v>-1450</v>
      </c>
      <c r="E6" s="9">
        <f>SUMIFS(PQ_GL_Data!$I:$I,PQ_GL_Data!$C:$C,"CHI",PQ_GL_Data!$E:$E,"1200",PQ_GL_Data!$N:$N,"2025-06")-SUMIFS(PQ_GL_Data!$J:$J,PQ_GL_Data!$C:$C,"CHI",PQ_GL_Data!$E:$E,"1200",PQ_GL_Data!$N:$N,"2025-06")</f>
        <v>-899</v>
      </c>
      <c r="F6" s="9">
        <f>SUMIFS(PQ_GL_Data!$I:$I,PQ_GL_Data!$C:$C,"DAL",PQ_GL_Data!$E:$E,"1200",PQ_GL_Data!$N:$N,"2025-06")-SUMIFS(PQ_GL_Data!$J:$J,PQ_GL_Data!$C:$C,"DAL",PQ_GL_Data!$E:$E,"1200",PQ_GL_Data!$N:$N,"2025-06")</f>
        <v>-797.5</v>
      </c>
      <c r="G6" s="10">
        <f t="shared" si="0"/>
        <v>-3146.5</v>
      </c>
    </row>
    <row r="7" spans="1:7" x14ac:dyDescent="0.45">
      <c r="A7" s="8" t="s">
        <v>83</v>
      </c>
      <c r="B7" s="8" t="s">
        <v>84</v>
      </c>
      <c r="C7" s="8" t="s">
        <v>78</v>
      </c>
      <c r="D7" s="9">
        <f>SUMIFS(PQ_GL_Data!$I:$I,PQ_GL_Data!$C:$C,"MIA",PQ_GL_Data!$E:$E,"1300",PQ_GL_Data!$N:$N,"2025-06")-SUMIFS(PQ_GL_Data!$J:$J,PQ_GL_Data!$C:$C,"MIA",PQ_GL_Data!$E:$E,"1300",PQ_GL_Data!$N:$N,"2025-06")</f>
        <v>60.839999999999236</v>
      </c>
      <c r="E7" s="9">
        <f>SUMIFS(PQ_GL_Data!$I:$I,PQ_GL_Data!$C:$C,"CHI",PQ_GL_Data!$E:$E,"1300",PQ_GL_Data!$N:$N,"2025-06")-SUMIFS(PQ_GL_Data!$J:$J,PQ_GL_Data!$C:$C,"CHI",PQ_GL_Data!$E:$E,"1300",PQ_GL_Data!$N:$N,"2025-06")</f>
        <v>0</v>
      </c>
      <c r="F7" s="9">
        <f>SUMIFS(PQ_GL_Data!$I:$I,PQ_GL_Data!$C:$C,"DAL",PQ_GL_Data!$E:$E,"1300",PQ_GL_Data!$N:$N,"2025-06")-SUMIFS(PQ_GL_Data!$J:$J,PQ_GL_Data!$C:$C,"DAL",PQ_GL_Data!$E:$E,"1300",PQ_GL_Data!$N:$N,"2025-06")</f>
        <v>0</v>
      </c>
      <c r="G7" s="10">
        <f t="shared" si="0"/>
        <v>60.839999999999236</v>
      </c>
    </row>
    <row r="8" spans="1:7" x14ac:dyDescent="0.45">
      <c r="A8" s="8" t="s">
        <v>85</v>
      </c>
      <c r="B8" s="8" t="s">
        <v>86</v>
      </c>
      <c r="C8" s="8" t="s">
        <v>78</v>
      </c>
      <c r="D8" s="9">
        <f>SUMIFS(PQ_GL_Data!$I:$I,PQ_GL_Data!$C:$C,"MIA",PQ_GL_Data!$E:$E,"1500",PQ_GL_Data!$N:$N,"2025-06")-SUMIFS(PQ_GL_Data!$J:$J,PQ_GL_Data!$C:$C,"MIA",PQ_GL_Data!$E:$E,"1500",PQ_GL_Data!$N:$N,"2025-06")</f>
        <v>-1100</v>
      </c>
      <c r="E8" s="9">
        <f>SUMIFS(PQ_GL_Data!$I:$I,PQ_GL_Data!$C:$C,"CHI",PQ_GL_Data!$E:$E,"1500",PQ_GL_Data!$N:$N,"2025-06")-SUMIFS(PQ_GL_Data!$J:$J,PQ_GL_Data!$C:$C,"CHI",PQ_GL_Data!$E:$E,"1500",PQ_GL_Data!$N:$N,"2025-06")</f>
        <v>-682</v>
      </c>
      <c r="F8" s="9">
        <f>SUMIFS(PQ_GL_Data!$I:$I,PQ_GL_Data!$C:$C,"DAL",PQ_GL_Data!$E:$E,"1500",PQ_GL_Data!$N:$N,"2025-06")-SUMIFS(PQ_GL_Data!$J:$J,PQ_GL_Data!$C:$C,"DAL",PQ_GL_Data!$E:$E,"1500",PQ_GL_Data!$N:$N,"2025-06")</f>
        <v>-605</v>
      </c>
      <c r="G8" s="10">
        <f t="shared" si="0"/>
        <v>-2387</v>
      </c>
    </row>
    <row r="9" spans="1:7" x14ac:dyDescent="0.45">
      <c r="A9" s="8" t="s">
        <v>87</v>
      </c>
      <c r="B9" s="8" t="s">
        <v>88</v>
      </c>
      <c r="C9" s="8" t="s">
        <v>89</v>
      </c>
      <c r="D9" s="9">
        <f>SUMIFS(PQ_GL_Data!$I:$I,PQ_GL_Data!$C:$C,"MIA",PQ_GL_Data!$E:$E,"2000",PQ_GL_Data!$N:$N,"2025-06")-SUMIFS(PQ_GL_Data!$J:$J,PQ_GL_Data!$C:$C,"MIA",PQ_GL_Data!$E:$E,"2000",PQ_GL_Data!$N:$N,"2025-06")</f>
        <v>-73.6899999999996</v>
      </c>
      <c r="E9" s="9">
        <f>SUMIFS(PQ_GL_Data!$I:$I,PQ_GL_Data!$C:$C,"CHI",PQ_GL_Data!$E:$E,"2000",PQ_GL_Data!$N:$N,"2025-06")-SUMIFS(PQ_GL_Data!$J:$J,PQ_GL_Data!$C:$C,"CHI",PQ_GL_Data!$E:$E,"2000",PQ_GL_Data!$N:$N,"2025-06")</f>
        <v>-107.98000000000047</v>
      </c>
      <c r="F9" s="9">
        <f>SUMIFS(PQ_GL_Data!$I:$I,PQ_GL_Data!$C:$C,"DAL",PQ_GL_Data!$E:$E,"2000",PQ_GL_Data!$N:$N,"2025-06")-SUMIFS(PQ_GL_Data!$J:$J,PQ_GL_Data!$C:$C,"DAL",PQ_GL_Data!$E:$E,"2000",PQ_GL_Data!$N:$N,"2025-06")</f>
        <v>-63.509999999999991</v>
      </c>
      <c r="G9" s="10">
        <f t="shared" si="0"/>
        <v>-245.18000000000006</v>
      </c>
    </row>
    <row r="10" spans="1:7" x14ac:dyDescent="0.45">
      <c r="A10" s="8" t="s">
        <v>90</v>
      </c>
      <c r="B10" s="8" t="s">
        <v>91</v>
      </c>
      <c r="C10" s="8" t="s">
        <v>89</v>
      </c>
      <c r="D10" s="9">
        <f>SUMIFS(PQ_GL_Data!$I:$I,PQ_GL_Data!$C:$C,"MIA",PQ_GL_Data!$E:$E,"2100",PQ_GL_Data!$N:$N,"2025-06")-SUMIFS(PQ_GL_Data!$J:$J,PQ_GL_Data!$C:$C,"MIA",PQ_GL_Data!$E:$E,"2100",PQ_GL_Data!$N:$N,"2025-06")</f>
        <v>-56.090000000000146</v>
      </c>
      <c r="E10" s="9">
        <f>SUMIFS(PQ_GL_Data!$I:$I,PQ_GL_Data!$C:$C,"CHI",PQ_GL_Data!$E:$E,"2100",PQ_GL_Data!$N:$N,"2025-06")-SUMIFS(PQ_GL_Data!$J:$J,PQ_GL_Data!$C:$C,"CHI",PQ_GL_Data!$E:$E,"2100",PQ_GL_Data!$N:$N,"2025-06")</f>
        <v>-34.7800000000002</v>
      </c>
      <c r="F10" s="9">
        <f>SUMIFS(PQ_GL_Data!$I:$I,PQ_GL_Data!$C:$C,"DAL",PQ_GL_Data!$E:$E,"2100",PQ_GL_Data!$N:$N,"2025-06")-SUMIFS(PQ_GL_Data!$J:$J,PQ_GL_Data!$C:$C,"DAL",PQ_GL_Data!$E:$E,"2100",PQ_GL_Data!$N:$N,"2025-06")</f>
        <v>-30.849999999999909</v>
      </c>
      <c r="G10" s="10">
        <f t="shared" si="0"/>
        <v>-121.72000000000025</v>
      </c>
    </row>
    <row r="11" spans="1:7" x14ac:dyDescent="0.45">
      <c r="A11" s="8" t="s">
        <v>92</v>
      </c>
      <c r="B11" s="8" t="s">
        <v>93</v>
      </c>
      <c r="C11" s="8" t="s">
        <v>89</v>
      </c>
      <c r="D11" s="9">
        <f>SUMIFS(PQ_GL_Data!$I:$I,PQ_GL_Data!$C:$C,"MIA",PQ_GL_Data!$E:$E,"2200",PQ_GL_Data!$N:$N,"2025-06")-SUMIFS(PQ_GL_Data!$J:$J,PQ_GL_Data!$C:$C,"MIA",PQ_GL_Data!$E:$E,"2200",PQ_GL_Data!$N:$N,"2025-06")</f>
        <v>0</v>
      </c>
      <c r="E11" s="9">
        <f>SUMIFS(PQ_GL_Data!$I:$I,PQ_GL_Data!$C:$C,"CHI",PQ_GL_Data!$E:$E,"2200",PQ_GL_Data!$N:$N,"2025-06")-SUMIFS(PQ_GL_Data!$J:$J,PQ_GL_Data!$C:$C,"CHI",PQ_GL_Data!$E:$E,"2200",PQ_GL_Data!$N:$N,"2025-06")</f>
        <v>-32.239999999999782</v>
      </c>
      <c r="F11" s="9">
        <f>SUMIFS(PQ_GL_Data!$I:$I,PQ_GL_Data!$C:$C,"DAL",PQ_GL_Data!$E:$E,"2200",PQ_GL_Data!$N:$N,"2025-06")-SUMIFS(PQ_GL_Data!$J:$J,PQ_GL_Data!$C:$C,"DAL",PQ_GL_Data!$E:$E,"2200",PQ_GL_Data!$N:$N,"2025-06")</f>
        <v>-28.599999999999909</v>
      </c>
      <c r="G11" s="10">
        <f t="shared" si="0"/>
        <v>-60.839999999999691</v>
      </c>
    </row>
    <row r="12" spans="1:7" x14ac:dyDescent="0.45">
      <c r="A12" s="8" t="s">
        <v>94</v>
      </c>
      <c r="B12" s="8" t="s">
        <v>95</v>
      </c>
      <c r="C12" s="8" t="s">
        <v>96</v>
      </c>
      <c r="D12" s="9">
        <f>SUMIFS(PQ_GL_Data!$I:$I,PQ_GL_Data!$C:$C,"MIA",PQ_GL_Data!$E:$E,"3000",PQ_GL_Data!$N:$N,"2025-06")-SUMIFS(PQ_GL_Data!$J:$J,PQ_GL_Data!$C:$C,"MIA",PQ_GL_Data!$E:$E,"3000",PQ_GL_Data!$N:$N,"2025-06")</f>
        <v>0</v>
      </c>
      <c r="E12" s="9">
        <f>SUMIFS(PQ_GL_Data!$I:$I,PQ_GL_Data!$C:$C,"CHI",PQ_GL_Data!$E:$E,"3000",PQ_GL_Data!$N:$N,"2025-06")-SUMIFS(PQ_GL_Data!$J:$J,PQ_GL_Data!$C:$C,"CHI",PQ_GL_Data!$E:$E,"3000",PQ_GL_Data!$N:$N,"2025-06")</f>
        <v>0</v>
      </c>
      <c r="F12" s="9">
        <f>SUMIFS(PQ_GL_Data!$I:$I,PQ_GL_Data!$C:$C,"DAL",PQ_GL_Data!$E:$E,"3000",PQ_GL_Data!$N:$N,"2025-06")-SUMIFS(PQ_GL_Data!$J:$J,PQ_GL_Data!$C:$C,"DAL",PQ_GL_Data!$E:$E,"3000",PQ_GL_Data!$N:$N,"2025-06")</f>
        <v>0</v>
      </c>
      <c r="G12" s="10">
        <f t="shared" si="0"/>
        <v>0</v>
      </c>
    </row>
    <row r="13" spans="1:7" x14ac:dyDescent="0.45">
      <c r="A13" s="8" t="s">
        <v>97</v>
      </c>
      <c r="B13" s="8" t="s">
        <v>98</v>
      </c>
      <c r="C13" s="8" t="s">
        <v>99</v>
      </c>
      <c r="D13" s="9">
        <f>SUMIFS(PQ_GL_Data!$I:$I,PQ_GL_Data!$C:$C,"MIA",PQ_GL_Data!$E:$E,"4000",PQ_GL_Data!$N:$N,"2025-06")-SUMIFS(PQ_GL_Data!$J:$J,PQ_GL_Data!$C:$C,"MIA",PQ_GL_Data!$E:$E,"4000",PQ_GL_Data!$N:$N,"2025-06")</f>
        <v>0</v>
      </c>
      <c r="E13" s="9">
        <f>SUMIFS(PQ_GL_Data!$I:$I,PQ_GL_Data!$C:$C,"CHI",PQ_GL_Data!$E:$E,"4000",PQ_GL_Data!$N:$N,"2025-06")-SUMIFS(PQ_GL_Data!$J:$J,PQ_GL_Data!$C:$C,"CHI",PQ_GL_Data!$E:$E,"4000",PQ_GL_Data!$N:$N,"2025-06")</f>
        <v>0</v>
      </c>
      <c r="F13" s="9">
        <f>SUMIFS(PQ_GL_Data!$I:$I,PQ_GL_Data!$C:$C,"DAL",PQ_GL_Data!$E:$E,"4000",PQ_GL_Data!$N:$N,"2025-06")-SUMIFS(PQ_GL_Data!$J:$J,PQ_GL_Data!$C:$C,"DAL",PQ_GL_Data!$E:$E,"4000",PQ_GL_Data!$N:$N,"2025-06")</f>
        <v>0</v>
      </c>
      <c r="G13" s="10">
        <f t="shared" si="0"/>
        <v>0</v>
      </c>
    </row>
    <row r="14" spans="1:7" x14ac:dyDescent="0.45">
      <c r="A14" s="8" t="s">
        <v>100</v>
      </c>
      <c r="B14" s="8" t="s">
        <v>101</v>
      </c>
      <c r="C14" s="8" t="s">
        <v>99</v>
      </c>
      <c r="D14" s="9">
        <f>SUMIFS(PQ_GL_Data!$I:$I,PQ_GL_Data!$C:$C,"MIA",PQ_GL_Data!$E:$E,"4010",PQ_GL_Data!$N:$N,"2025-06")-SUMIFS(PQ_GL_Data!$J:$J,PQ_GL_Data!$C:$C,"MIA",PQ_GL_Data!$E:$E,"4010",PQ_GL_Data!$N:$N,"2025-06")</f>
        <v>-47822.5</v>
      </c>
      <c r="E14" s="9">
        <f>SUMIFS(PQ_GL_Data!$I:$I,PQ_GL_Data!$C:$C,"CHI",PQ_GL_Data!$E:$E,"4010",PQ_GL_Data!$N:$N,"2025-06")-SUMIFS(PQ_GL_Data!$J:$J,PQ_GL_Data!$C:$C,"CHI",PQ_GL_Data!$E:$E,"4010",PQ_GL_Data!$N:$N,"2025-06")</f>
        <v>-29360.01</v>
      </c>
      <c r="F14" s="9">
        <f>SUMIFS(PQ_GL_Data!$I:$I,PQ_GL_Data!$C:$C,"DAL",PQ_GL_Data!$E:$E,"4010",PQ_GL_Data!$N:$N,"2025-06")-SUMIFS(PQ_GL_Data!$J:$J,PQ_GL_Data!$C:$C,"DAL",PQ_GL_Data!$E:$E,"4010",PQ_GL_Data!$N:$N,"2025-06")</f>
        <v>-24038.78</v>
      </c>
      <c r="G14" s="10">
        <f t="shared" si="0"/>
        <v>-101221.29</v>
      </c>
    </row>
    <row r="15" spans="1:7" x14ac:dyDescent="0.45">
      <c r="A15" s="8" t="s">
        <v>102</v>
      </c>
      <c r="B15" s="8" t="s">
        <v>103</v>
      </c>
      <c r="C15" s="8" t="s">
        <v>99</v>
      </c>
      <c r="D15" s="9">
        <f>SUMIFS(PQ_GL_Data!$I:$I,PQ_GL_Data!$C:$C,"MIA",PQ_GL_Data!$E:$E,"4020",PQ_GL_Data!$N:$N,"2025-06")-SUMIFS(PQ_GL_Data!$J:$J,PQ_GL_Data!$C:$C,"MIA",PQ_GL_Data!$E:$E,"4020",PQ_GL_Data!$N:$N,"2025-06")</f>
        <v>-37574.82</v>
      </c>
      <c r="E15" s="9">
        <f>SUMIFS(PQ_GL_Data!$I:$I,PQ_GL_Data!$C:$C,"CHI",PQ_GL_Data!$E:$E,"4020",PQ_GL_Data!$N:$N,"2025-06")-SUMIFS(PQ_GL_Data!$J:$J,PQ_GL_Data!$C:$C,"CHI",PQ_GL_Data!$E:$E,"4020",PQ_GL_Data!$N:$N,"2025-06")</f>
        <v>-23068.58</v>
      </c>
      <c r="F15" s="9">
        <f>SUMIFS(PQ_GL_Data!$I:$I,PQ_GL_Data!$C:$C,"DAL",PQ_GL_Data!$E:$E,"4020",PQ_GL_Data!$N:$N,"2025-06")-SUMIFS(PQ_GL_Data!$J:$J,PQ_GL_Data!$C:$C,"DAL",PQ_GL_Data!$E:$E,"4020",PQ_GL_Data!$N:$N,"2025-06")</f>
        <v>-18887.62</v>
      </c>
      <c r="G15" s="10">
        <f t="shared" si="0"/>
        <v>-79531.02</v>
      </c>
    </row>
    <row r="16" spans="1:7" x14ac:dyDescent="0.45">
      <c r="A16" s="8" t="s">
        <v>104</v>
      </c>
      <c r="B16" s="8" t="s">
        <v>105</v>
      </c>
      <c r="C16" s="8" t="s">
        <v>99</v>
      </c>
      <c r="D16" s="9">
        <f>SUMIFS(PQ_GL_Data!$I:$I,PQ_GL_Data!$C:$C,"MIA",PQ_GL_Data!$E:$E,"4030",PQ_GL_Data!$N:$N,"2025-06")-SUMIFS(PQ_GL_Data!$J:$J,PQ_GL_Data!$C:$C,"MIA",PQ_GL_Data!$E:$E,"4030",PQ_GL_Data!$N:$N,"2025-06")</f>
        <v>-28465.78</v>
      </c>
      <c r="E16" s="9">
        <f>SUMIFS(PQ_GL_Data!$I:$I,PQ_GL_Data!$C:$C,"CHI",PQ_GL_Data!$E:$E,"4030",PQ_GL_Data!$N:$N,"2025-06")-SUMIFS(PQ_GL_Data!$J:$J,PQ_GL_Data!$C:$C,"CHI",PQ_GL_Data!$E:$E,"4030",PQ_GL_Data!$N:$N,"2025-06")</f>
        <v>-17476.189999999999</v>
      </c>
      <c r="F16" s="9">
        <f>SUMIFS(PQ_GL_Data!$I:$I,PQ_GL_Data!$C:$C,"DAL",PQ_GL_Data!$E:$E,"4030",PQ_GL_Data!$N:$N,"2025-06")-SUMIFS(PQ_GL_Data!$J:$J,PQ_GL_Data!$C:$C,"DAL",PQ_GL_Data!$E:$E,"4030",PQ_GL_Data!$N:$N,"2025-06")</f>
        <v>-14308.8</v>
      </c>
      <c r="G16" s="10">
        <f t="shared" si="0"/>
        <v>-60250.770000000004</v>
      </c>
    </row>
    <row r="17" spans="1:7" x14ac:dyDescent="0.45">
      <c r="A17" s="8" t="s">
        <v>106</v>
      </c>
      <c r="B17" s="8" t="s">
        <v>107</v>
      </c>
      <c r="C17" s="8" t="s">
        <v>99</v>
      </c>
      <c r="D17" s="9">
        <f>SUMIFS(PQ_GL_Data!$I:$I,PQ_GL_Data!$C:$C,"MIA",PQ_GL_Data!$E:$E,"4090",PQ_GL_Data!$N:$N,"2025-06")-SUMIFS(PQ_GL_Data!$J:$J,PQ_GL_Data!$C:$C,"MIA",PQ_GL_Data!$E:$E,"4090",PQ_GL_Data!$N:$N,"2025-06")</f>
        <v>-7118.28</v>
      </c>
      <c r="E17" s="9">
        <f>SUMIFS(PQ_GL_Data!$I:$I,PQ_GL_Data!$C:$C,"CHI",PQ_GL_Data!$E:$E,"4090",PQ_GL_Data!$N:$N,"2025-06")-SUMIFS(PQ_GL_Data!$J:$J,PQ_GL_Data!$C:$C,"CHI",PQ_GL_Data!$E:$E,"4090",PQ_GL_Data!$N:$N,"2025-06")</f>
        <v>0</v>
      </c>
      <c r="F17" s="9">
        <f>SUMIFS(PQ_GL_Data!$I:$I,PQ_GL_Data!$C:$C,"DAL",PQ_GL_Data!$E:$E,"4090",PQ_GL_Data!$N:$N,"2025-06")-SUMIFS(PQ_GL_Data!$J:$J,PQ_GL_Data!$C:$C,"DAL",PQ_GL_Data!$E:$E,"4090",PQ_GL_Data!$N:$N,"2025-06")</f>
        <v>0</v>
      </c>
      <c r="G17" s="10">
        <f t="shared" si="0"/>
        <v>-7118.28</v>
      </c>
    </row>
    <row r="18" spans="1:7" x14ac:dyDescent="0.45">
      <c r="A18" s="8" t="s">
        <v>108</v>
      </c>
      <c r="B18" s="8" t="s">
        <v>109</v>
      </c>
      <c r="C18" s="8" t="s">
        <v>110</v>
      </c>
      <c r="D18" s="9">
        <f>SUMIFS(PQ_GL_Data!$I:$I,PQ_GL_Data!$C:$C,"MIA",PQ_GL_Data!$E:$E,"5000",PQ_GL_Data!$N:$N,"2025-06")-SUMIFS(PQ_GL_Data!$J:$J,PQ_GL_Data!$C:$C,"MIA",PQ_GL_Data!$E:$E,"5000",PQ_GL_Data!$N:$N,"2025-06")</f>
        <v>0</v>
      </c>
      <c r="E18" s="9">
        <f>SUMIFS(PQ_GL_Data!$I:$I,PQ_GL_Data!$C:$C,"CHI",PQ_GL_Data!$E:$E,"5000",PQ_GL_Data!$N:$N,"2025-06")-SUMIFS(PQ_GL_Data!$J:$J,PQ_GL_Data!$C:$C,"CHI",PQ_GL_Data!$E:$E,"5000",PQ_GL_Data!$N:$N,"2025-06")</f>
        <v>0</v>
      </c>
      <c r="F18" s="9">
        <f>SUMIFS(PQ_GL_Data!$I:$I,PQ_GL_Data!$C:$C,"DAL",PQ_GL_Data!$E:$E,"5000",PQ_GL_Data!$N:$N,"2025-06")-SUMIFS(PQ_GL_Data!$J:$J,PQ_GL_Data!$C:$C,"DAL",PQ_GL_Data!$E:$E,"5000",PQ_GL_Data!$N:$N,"2025-06")</f>
        <v>0</v>
      </c>
      <c r="G18" s="10">
        <f t="shared" si="0"/>
        <v>0</v>
      </c>
    </row>
    <row r="19" spans="1:7" x14ac:dyDescent="0.45">
      <c r="A19" s="8" t="s">
        <v>111</v>
      </c>
      <c r="B19" s="8" t="s">
        <v>112</v>
      </c>
      <c r="C19" s="8" t="s">
        <v>110</v>
      </c>
      <c r="D19" s="9">
        <f>SUMIFS(PQ_GL_Data!$I:$I,PQ_GL_Data!$C:$C,"MIA",PQ_GL_Data!$E:$E,"5010",PQ_GL_Data!$N:$N,"2025-06")-SUMIFS(PQ_GL_Data!$J:$J,PQ_GL_Data!$C:$C,"MIA",PQ_GL_Data!$E:$E,"5010",PQ_GL_Data!$N:$N,"2025-06")</f>
        <v>6466.68</v>
      </c>
      <c r="E19" s="9">
        <f>SUMIFS(PQ_GL_Data!$I:$I,PQ_GL_Data!$C:$C,"CHI",PQ_GL_Data!$E:$E,"5010",PQ_GL_Data!$N:$N,"2025-06")-SUMIFS(PQ_GL_Data!$J:$J,PQ_GL_Data!$C:$C,"CHI",PQ_GL_Data!$E:$E,"5010",PQ_GL_Data!$N:$N,"2025-06")</f>
        <v>3970.14</v>
      </c>
      <c r="F19" s="9">
        <f>SUMIFS(PQ_GL_Data!$I:$I,PQ_GL_Data!$C:$C,"DAL",PQ_GL_Data!$E:$E,"5010",PQ_GL_Data!$N:$N,"2025-06")-SUMIFS(PQ_GL_Data!$J:$J,PQ_GL_Data!$C:$C,"DAL",PQ_GL_Data!$E:$E,"5010",PQ_GL_Data!$N:$N,"2025-06")</f>
        <v>3250.59</v>
      </c>
      <c r="G19" s="10">
        <f t="shared" si="0"/>
        <v>13687.41</v>
      </c>
    </row>
    <row r="20" spans="1:7" x14ac:dyDescent="0.45">
      <c r="A20" s="8" t="s">
        <v>113</v>
      </c>
      <c r="B20" s="8" t="s">
        <v>114</v>
      </c>
      <c r="C20" s="8" t="s">
        <v>110</v>
      </c>
      <c r="D20" s="9">
        <f>SUMIFS(PQ_GL_Data!$I:$I,PQ_GL_Data!$C:$C,"MIA",PQ_GL_Data!$E:$E,"5020",PQ_GL_Data!$N:$N,"2025-06")-SUMIFS(PQ_GL_Data!$J:$J,PQ_GL_Data!$C:$C,"MIA",PQ_GL_Data!$E:$E,"5020",PQ_GL_Data!$N:$N,"2025-06")</f>
        <v>5290.92</v>
      </c>
      <c r="E20" s="9">
        <f>SUMIFS(PQ_GL_Data!$I:$I,PQ_GL_Data!$C:$C,"CHI",PQ_GL_Data!$E:$E,"5020",PQ_GL_Data!$N:$N,"2025-06")-SUMIFS(PQ_GL_Data!$J:$J,PQ_GL_Data!$C:$C,"CHI",PQ_GL_Data!$E:$E,"5020",PQ_GL_Data!$N:$N,"2025-06")</f>
        <v>3248.29</v>
      </c>
      <c r="F20" s="9">
        <f>SUMIFS(PQ_GL_Data!$I:$I,PQ_GL_Data!$C:$C,"DAL",PQ_GL_Data!$E:$E,"5020",PQ_GL_Data!$N:$N,"2025-06")-SUMIFS(PQ_GL_Data!$J:$J,PQ_GL_Data!$C:$C,"DAL",PQ_GL_Data!$E:$E,"5020",PQ_GL_Data!$N:$N,"2025-06")</f>
        <v>2659.57</v>
      </c>
      <c r="G20" s="10">
        <f t="shared" si="0"/>
        <v>11198.779999999999</v>
      </c>
    </row>
    <row r="21" spans="1:7" x14ac:dyDescent="0.45">
      <c r="A21" s="8" t="s">
        <v>115</v>
      </c>
      <c r="B21" s="8" t="s">
        <v>116</v>
      </c>
      <c r="C21" s="8" t="s">
        <v>117</v>
      </c>
      <c r="D21" s="9">
        <f>SUMIFS(PQ_GL_Data!$I:$I,PQ_GL_Data!$C:$C,"MIA",PQ_GL_Data!$E:$E,"6000",PQ_GL_Data!$N:$N,"2025-06")-SUMIFS(PQ_GL_Data!$J:$J,PQ_GL_Data!$C:$C,"MIA",PQ_GL_Data!$E:$E,"6000",PQ_GL_Data!$N:$N,"2025-06")</f>
        <v>0</v>
      </c>
      <c r="E21" s="9">
        <f>SUMIFS(PQ_GL_Data!$I:$I,PQ_GL_Data!$C:$C,"CHI",PQ_GL_Data!$E:$E,"6000",PQ_GL_Data!$N:$N,"2025-06")-SUMIFS(PQ_GL_Data!$J:$J,PQ_GL_Data!$C:$C,"CHI",PQ_GL_Data!$E:$E,"6000",PQ_GL_Data!$N:$N,"2025-06")</f>
        <v>0</v>
      </c>
      <c r="F21" s="9">
        <f>SUMIFS(PQ_GL_Data!$I:$I,PQ_GL_Data!$C:$C,"DAL",PQ_GL_Data!$E:$E,"6000",PQ_GL_Data!$N:$N,"2025-06")-SUMIFS(PQ_GL_Data!$J:$J,PQ_GL_Data!$C:$C,"DAL",PQ_GL_Data!$E:$E,"6000",PQ_GL_Data!$N:$N,"2025-06")</f>
        <v>0</v>
      </c>
      <c r="G21" s="10">
        <f t="shared" si="0"/>
        <v>0</v>
      </c>
    </row>
    <row r="22" spans="1:7" x14ac:dyDescent="0.45">
      <c r="A22" s="8" t="s">
        <v>118</v>
      </c>
      <c r="B22" s="8" t="s">
        <v>119</v>
      </c>
      <c r="C22" s="8" t="s">
        <v>117</v>
      </c>
      <c r="D22" s="9">
        <f>SUMIFS(PQ_GL_Data!$I:$I,PQ_GL_Data!$C:$C,"MIA",PQ_GL_Data!$E:$E,"6010",PQ_GL_Data!$N:$N,"2025-06")-SUMIFS(PQ_GL_Data!$J:$J,PQ_GL_Data!$C:$C,"MIA",PQ_GL_Data!$E:$E,"6010",PQ_GL_Data!$N:$N,"2025-06")</f>
        <v>49364</v>
      </c>
      <c r="E22" s="9">
        <f>SUMIFS(PQ_GL_Data!$I:$I,PQ_GL_Data!$C:$C,"CHI",PQ_GL_Data!$E:$E,"6010",PQ_GL_Data!$N:$N,"2025-06")-SUMIFS(PQ_GL_Data!$J:$J,PQ_GL_Data!$C:$C,"CHI",PQ_GL_Data!$E:$E,"6010",PQ_GL_Data!$N:$N,"2025-06")</f>
        <v>30605.68</v>
      </c>
      <c r="F22" s="9">
        <f>SUMIFS(PQ_GL_Data!$I:$I,PQ_GL_Data!$C:$C,"DAL",PQ_GL_Data!$E:$E,"6010",PQ_GL_Data!$N:$N,"2025-06")-SUMIFS(PQ_GL_Data!$J:$J,PQ_GL_Data!$C:$C,"DAL",PQ_GL_Data!$E:$E,"6010",PQ_GL_Data!$N:$N,"2025-06")</f>
        <v>27150.2</v>
      </c>
      <c r="G22" s="10">
        <f t="shared" si="0"/>
        <v>107119.87999999999</v>
      </c>
    </row>
    <row r="23" spans="1:7" x14ac:dyDescent="0.45">
      <c r="A23" s="8" t="s">
        <v>120</v>
      </c>
      <c r="B23" s="8" t="s">
        <v>121</v>
      </c>
      <c r="C23" s="8" t="s">
        <v>117</v>
      </c>
      <c r="D23" s="9">
        <f>SUMIFS(PQ_GL_Data!$I:$I,PQ_GL_Data!$C:$C,"MIA",PQ_GL_Data!$E:$E,"6020",PQ_GL_Data!$N:$N,"2025-06")-SUMIFS(PQ_GL_Data!$J:$J,PQ_GL_Data!$C:$C,"MIA",PQ_GL_Data!$E:$E,"6020",PQ_GL_Data!$N:$N,"2025-06")</f>
        <v>6910.96</v>
      </c>
      <c r="E23" s="9">
        <f>SUMIFS(PQ_GL_Data!$I:$I,PQ_GL_Data!$C:$C,"CHI",PQ_GL_Data!$E:$E,"6020",PQ_GL_Data!$N:$N,"2025-06")-SUMIFS(PQ_GL_Data!$J:$J,PQ_GL_Data!$C:$C,"CHI",PQ_GL_Data!$E:$E,"6020",PQ_GL_Data!$N:$N,"2025-06")</f>
        <v>4284.8</v>
      </c>
      <c r="F23" s="9">
        <f>SUMIFS(PQ_GL_Data!$I:$I,PQ_GL_Data!$C:$C,"DAL",PQ_GL_Data!$E:$E,"6020",PQ_GL_Data!$N:$N,"2025-06")-SUMIFS(PQ_GL_Data!$J:$J,PQ_GL_Data!$C:$C,"DAL",PQ_GL_Data!$E:$E,"6020",PQ_GL_Data!$N:$N,"2025-06")</f>
        <v>3801.03</v>
      </c>
      <c r="G23" s="10">
        <f t="shared" si="0"/>
        <v>14996.79</v>
      </c>
    </row>
    <row r="24" spans="1:7" x14ac:dyDescent="0.45">
      <c r="A24" s="8" t="s">
        <v>122</v>
      </c>
      <c r="B24" s="8" t="s">
        <v>123</v>
      </c>
      <c r="C24" s="8" t="s">
        <v>117</v>
      </c>
      <c r="D24" s="9">
        <f>SUMIFS(PQ_GL_Data!$I:$I,PQ_GL_Data!$C:$C,"MIA",PQ_GL_Data!$E:$E,"6030",PQ_GL_Data!$N:$N,"2025-06")-SUMIFS(PQ_GL_Data!$J:$J,PQ_GL_Data!$C:$C,"MIA",PQ_GL_Data!$E:$E,"6030",PQ_GL_Data!$N:$N,"2025-06")</f>
        <v>7378</v>
      </c>
      <c r="E24" s="9">
        <f>SUMIFS(PQ_GL_Data!$I:$I,PQ_GL_Data!$C:$C,"CHI",PQ_GL_Data!$E:$E,"6030",PQ_GL_Data!$N:$N,"2025-06")-SUMIFS(PQ_GL_Data!$J:$J,PQ_GL_Data!$C:$C,"CHI",PQ_GL_Data!$E:$E,"6030",PQ_GL_Data!$N:$N,"2025-06")</f>
        <v>4574.3599999999997</v>
      </c>
      <c r="F24" s="9">
        <f>SUMIFS(PQ_GL_Data!$I:$I,PQ_GL_Data!$C:$C,"DAL",PQ_GL_Data!$E:$E,"6030",PQ_GL_Data!$N:$N,"2025-06")-SUMIFS(PQ_GL_Data!$J:$J,PQ_GL_Data!$C:$C,"DAL",PQ_GL_Data!$E:$E,"6030",PQ_GL_Data!$N:$N,"2025-06")</f>
        <v>4057.9</v>
      </c>
      <c r="G24" s="10">
        <f t="shared" si="0"/>
        <v>16010.26</v>
      </c>
    </row>
    <row r="25" spans="1:7" x14ac:dyDescent="0.45">
      <c r="A25" s="8" t="s">
        <v>124</v>
      </c>
      <c r="B25" s="8" t="s">
        <v>125</v>
      </c>
      <c r="C25" s="8" t="s">
        <v>117</v>
      </c>
      <c r="D25" s="9">
        <f>SUMIFS(PQ_GL_Data!$I:$I,PQ_GL_Data!$C:$C,"MIA",PQ_GL_Data!$E:$E,"6040",PQ_GL_Data!$N:$N,"2025-06")-SUMIFS(PQ_GL_Data!$J:$J,PQ_GL_Data!$C:$C,"MIA",PQ_GL_Data!$E:$E,"6040",PQ_GL_Data!$N:$N,"2025-06")</f>
        <v>3289.42</v>
      </c>
      <c r="E25" s="9">
        <f>SUMIFS(PQ_GL_Data!$I:$I,PQ_GL_Data!$C:$C,"CHI",PQ_GL_Data!$E:$E,"6040",PQ_GL_Data!$N:$N,"2025-06")-SUMIFS(PQ_GL_Data!$J:$J,PQ_GL_Data!$C:$C,"CHI",PQ_GL_Data!$E:$E,"6040",PQ_GL_Data!$N:$N,"2025-06")</f>
        <v>2019.49</v>
      </c>
      <c r="F25" s="9">
        <f>SUMIFS(PQ_GL_Data!$I:$I,PQ_GL_Data!$C:$C,"DAL",PQ_GL_Data!$E:$E,"6040",PQ_GL_Data!$N:$N,"2025-06")-SUMIFS(PQ_GL_Data!$J:$J,PQ_GL_Data!$C:$C,"DAL",PQ_GL_Data!$E:$E,"6040",PQ_GL_Data!$N:$N,"2025-06")</f>
        <v>1653.48</v>
      </c>
      <c r="G25" s="10">
        <f t="shared" si="0"/>
        <v>6962.3899999999994</v>
      </c>
    </row>
    <row r="26" spans="1:7" x14ac:dyDescent="0.45">
      <c r="A26" s="8" t="s">
        <v>126</v>
      </c>
      <c r="B26" s="8" t="s">
        <v>127</v>
      </c>
      <c r="C26" s="8" t="s">
        <v>117</v>
      </c>
      <c r="D26" s="9">
        <f>SUMIFS(PQ_GL_Data!$I:$I,PQ_GL_Data!$C:$C,"MIA",PQ_GL_Data!$E:$E,"6050",PQ_GL_Data!$N:$N,"2025-06")-SUMIFS(PQ_GL_Data!$J:$J,PQ_GL_Data!$C:$C,"MIA",PQ_GL_Data!$E:$E,"6050",PQ_GL_Data!$N:$N,"2025-06")</f>
        <v>1450</v>
      </c>
      <c r="E26" s="9">
        <f>SUMIFS(PQ_GL_Data!$I:$I,PQ_GL_Data!$C:$C,"CHI",PQ_GL_Data!$E:$E,"6050",PQ_GL_Data!$N:$N,"2025-06")-SUMIFS(PQ_GL_Data!$J:$J,PQ_GL_Data!$C:$C,"CHI",PQ_GL_Data!$E:$E,"6050",PQ_GL_Data!$N:$N,"2025-06")</f>
        <v>899</v>
      </c>
      <c r="F26" s="9">
        <f>SUMIFS(PQ_GL_Data!$I:$I,PQ_GL_Data!$C:$C,"DAL",PQ_GL_Data!$E:$E,"6050",PQ_GL_Data!$N:$N,"2025-06")-SUMIFS(PQ_GL_Data!$J:$J,PQ_GL_Data!$C:$C,"DAL",PQ_GL_Data!$E:$E,"6050",PQ_GL_Data!$N:$N,"2025-06")</f>
        <v>797.5</v>
      </c>
      <c r="G26" s="10">
        <f t="shared" si="0"/>
        <v>3146.5</v>
      </c>
    </row>
    <row r="27" spans="1:7" x14ac:dyDescent="0.45">
      <c r="A27" s="8" t="s">
        <v>128</v>
      </c>
      <c r="B27" s="8" t="s">
        <v>129</v>
      </c>
      <c r="C27" s="8" t="s">
        <v>117</v>
      </c>
      <c r="D27" s="9">
        <f>SUMIFS(PQ_GL_Data!$I:$I,PQ_GL_Data!$C:$C,"MIA",PQ_GL_Data!$E:$E,"6060",PQ_GL_Data!$N:$N,"2025-06")-SUMIFS(PQ_GL_Data!$J:$J,PQ_GL_Data!$C:$C,"MIA",PQ_GL_Data!$E:$E,"6060",PQ_GL_Data!$N:$N,"2025-06")</f>
        <v>2457</v>
      </c>
      <c r="E27" s="9">
        <f>SUMIFS(PQ_GL_Data!$I:$I,PQ_GL_Data!$C:$C,"CHI",PQ_GL_Data!$E:$E,"6060",PQ_GL_Data!$N:$N,"2025-06")-SUMIFS(PQ_GL_Data!$J:$J,PQ_GL_Data!$C:$C,"CHI",PQ_GL_Data!$E:$E,"6060",PQ_GL_Data!$N:$N,"2025-06")</f>
        <v>1523.34</v>
      </c>
      <c r="F27" s="9">
        <f>SUMIFS(PQ_GL_Data!$I:$I,PQ_GL_Data!$C:$C,"DAL",PQ_GL_Data!$E:$E,"6060",PQ_GL_Data!$N:$N,"2025-06")-SUMIFS(PQ_GL_Data!$J:$J,PQ_GL_Data!$C:$C,"DAL",PQ_GL_Data!$E:$E,"6060",PQ_GL_Data!$N:$N,"2025-06")</f>
        <v>1351.35</v>
      </c>
      <c r="G27" s="10">
        <f t="shared" si="0"/>
        <v>5331.6900000000005</v>
      </c>
    </row>
    <row r="28" spans="1:7" x14ac:dyDescent="0.45">
      <c r="A28" s="8" t="s">
        <v>130</v>
      </c>
      <c r="B28" s="8" t="s">
        <v>131</v>
      </c>
      <c r="C28" s="8" t="s">
        <v>117</v>
      </c>
      <c r="D28" s="9">
        <f>SUMIFS(PQ_GL_Data!$I:$I,PQ_GL_Data!$C:$C,"MIA",PQ_GL_Data!$E:$E,"6070",PQ_GL_Data!$N:$N,"2025-06")-SUMIFS(PQ_GL_Data!$J:$J,PQ_GL_Data!$C:$C,"MIA",PQ_GL_Data!$E:$E,"6070",PQ_GL_Data!$N:$N,"2025-06")</f>
        <v>0</v>
      </c>
      <c r="E28" s="9">
        <f>SUMIFS(PQ_GL_Data!$I:$I,PQ_GL_Data!$C:$C,"CHI",PQ_GL_Data!$E:$E,"6070",PQ_GL_Data!$N:$N,"2025-06")-SUMIFS(PQ_GL_Data!$J:$J,PQ_GL_Data!$C:$C,"CHI",PQ_GL_Data!$E:$E,"6070",PQ_GL_Data!$N:$N,"2025-06")</f>
        <v>3772.08</v>
      </c>
      <c r="F28" s="9">
        <f>SUMIFS(PQ_GL_Data!$I:$I,PQ_GL_Data!$C:$C,"DAL",PQ_GL_Data!$E:$E,"6070",PQ_GL_Data!$N:$N,"2025-06")-SUMIFS(PQ_GL_Data!$J:$J,PQ_GL_Data!$C:$C,"DAL",PQ_GL_Data!$E:$E,"6070",PQ_GL_Data!$N:$N,"2025-06")</f>
        <v>3346.2</v>
      </c>
      <c r="G28" s="10">
        <f t="shared" si="0"/>
        <v>7118.28</v>
      </c>
    </row>
    <row r="29" spans="1:7" x14ac:dyDescent="0.45">
      <c r="A29" s="8" t="s">
        <v>132</v>
      </c>
      <c r="B29" s="8" t="s">
        <v>133</v>
      </c>
      <c r="C29" s="8" t="s">
        <v>117</v>
      </c>
      <c r="D29" s="9">
        <f>SUMIFS(PQ_GL_Data!$I:$I,PQ_GL_Data!$C:$C,"MIA",PQ_GL_Data!$E:$E,"7000",PQ_GL_Data!$N:$N,"2025-06")-SUMIFS(PQ_GL_Data!$J:$J,PQ_GL_Data!$C:$C,"MIA",PQ_GL_Data!$E:$E,"7000",PQ_GL_Data!$N:$N,"2025-06")</f>
        <v>1100</v>
      </c>
      <c r="E29" s="9">
        <f>SUMIFS(PQ_GL_Data!$I:$I,PQ_GL_Data!$C:$C,"CHI",PQ_GL_Data!$E:$E,"7000",PQ_GL_Data!$N:$N,"2025-06")-SUMIFS(PQ_GL_Data!$J:$J,PQ_GL_Data!$C:$C,"CHI",PQ_GL_Data!$E:$E,"7000",PQ_GL_Data!$N:$N,"2025-06")</f>
        <v>682</v>
      </c>
      <c r="F29" s="9">
        <f>SUMIFS(PQ_GL_Data!$I:$I,PQ_GL_Data!$C:$C,"DAL",PQ_GL_Data!$E:$E,"7000",PQ_GL_Data!$N:$N,"2025-06")-SUMIFS(PQ_GL_Data!$J:$J,PQ_GL_Data!$C:$C,"DAL",PQ_GL_Data!$E:$E,"7000",PQ_GL_Data!$N:$N,"2025-06")</f>
        <v>605</v>
      </c>
      <c r="G29" s="10">
        <f t="shared" si="0"/>
        <v>2387</v>
      </c>
    </row>
    <row r="30" spans="1:7" x14ac:dyDescent="0.45">
      <c r="A30" s="8" t="s">
        <v>134</v>
      </c>
      <c r="B30" s="8" t="s">
        <v>135</v>
      </c>
      <c r="C30" s="8" t="s">
        <v>117</v>
      </c>
      <c r="D30" s="9">
        <f>SUMIFS(PQ_GL_Data!$I:$I,PQ_GL_Data!$C:$C,"MIA",PQ_GL_Data!$E:$E,"8000",PQ_GL_Data!$N:$N,"2025-06")-SUMIFS(PQ_GL_Data!$J:$J,PQ_GL_Data!$C:$C,"MIA",PQ_GL_Data!$E:$E,"8000",PQ_GL_Data!$N:$N,"2025-06")</f>
        <v>0</v>
      </c>
      <c r="E30" s="9">
        <f>SUMIFS(PQ_GL_Data!$I:$I,PQ_GL_Data!$C:$C,"CHI",PQ_GL_Data!$E:$E,"8000",PQ_GL_Data!$N:$N,"2025-06")-SUMIFS(PQ_GL_Data!$J:$J,PQ_GL_Data!$C:$C,"CHI",PQ_GL_Data!$E:$E,"8000",PQ_GL_Data!$N:$N,"2025-06")</f>
        <v>0</v>
      </c>
      <c r="F30" s="9">
        <f>SUMIFS(PQ_GL_Data!$I:$I,PQ_GL_Data!$C:$C,"DAL",PQ_GL_Data!$E:$E,"8000",PQ_GL_Data!$N:$N,"2025-06")-SUMIFS(PQ_GL_Data!$J:$J,PQ_GL_Data!$C:$C,"DAL",PQ_GL_Data!$E:$E,"8000",PQ_GL_Data!$N:$N,"2025-06")</f>
        <v>0</v>
      </c>
      <c r="G30" s="10">
        <f t="shared" si="0"/>
        <v>0</v>
      </c>
    </row>
  </sheetData>
  <mergeCells count="1">
    <mergeCell ref="A1:F1"/>
  </mergeCells>
  <pageMargins left="0.75" right="0.75" top="1" bottom="1" header="0.5" footer="0.5"/>
  <headerFooter>
    <oddFooter>&amp;R_x000D_&amp;1#&amp;"Aptos"&amp;8&amp;K000000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4F5D"/>
  </sheetPr>
  <dimension ref="A1:D12"/>
  <sheetViews>
    <sheetView showGridLines="0" workbookViewId="0">
      <selection sqref="A1:D1"/>
    </sheetView>
  </sheetViews>
  <sheetFormatPr defaultRowHeight="14.25" x14ac:dyDescent="0.45"/>
  <cols>
    <col min="1" max="1" width="46" customWidth="1"/>
    <col min="2" max="4" width="14" customWidth="1"/>
  </cols>
  <sheetData>
    <row r="1" spans="1:4" ht="26" customHeight="1" x14ac:dyDescent="0.45">
      <c r="A1" s="25" t="s">
        <v>136</v>
      </c>
      <c r="B1" s="26"/>
      <c r="C1" s="26"/>
      <c r="D1" s="26"/>
    </row>
    <row r="3" spans="1:4" x14ac:dyDescent="0.45">
      <c r="A3" s="11" t="s">
        <v>137</v>
      </c>
      <c r="B3" s="11" t="s">
        <v>72</v>
      </c>
      <c r="C3" s="11" t="s">
        <v>73</v>
      </c>
      <c r="D3" s="11" t="s">
        <v>74</v>
      </c>
    </row>
    <row r="4" spans="1:4" ht="16.05" customHeight="1" x14ac:dyDescent="0.45">
      <c r="A4" s="12" t="s">
        <v>138</v>
      </c>
      <c r="B4" s="13">
        <f>SUMIFS(PQ_GL_Data!$I:$I,PQ_GL_Data!$C:$C,"MIA",PQ_GL_Data!$E:$E,"1000",PQ_GL_Data!$N:$N,"2025-06")-SUMIFS(PQ_GL_Data!$J:$J,PQ_GL_Data!$C:$C,"MIA",PQ_GL_Data!$E:$E,"1000",PQ_GL_Data!$N:$N,"2025-06")</f>
        <v>33024.53</v>
      </c>
      <c r="C4" s="13">
        <f>SUMIFS(PQ_GL_Data!$I:$I,PQ_GL_Data!$C:$C,"CHI",PQ_GL_Data!$E:$E,"1000",PQ_GL_Data!$N:$N,"2025-06")-SUMIFS(PQ_GL_Data!$J:$J,PQ_GL_Data!$C:$C,"CHI",PQ_GL_Data!$E:$E,"1000",PQ_GL_Data!$N:$N,"2025-06")</f>
        <v>10400.850000000006</v>
      </c>
      <c r="D4" s="13">
        <f>SUMIFS(PQ_GL_Data!$I:$I,PQ_GL_Data!$C:$C,"DAL",PQ_GL_Data!$E:$E,"1000",PQ_GL_Data!$N:$N,"2025-06")-SUMIFS(PQ_GL_Data!$J:$J,PQ_GL_Data!$C:$C,"DAL",PQ_GL_Data!$E:$E,"1000",PQ_GL_Data!$N:$N,"2025-06")</f>
        <v>7680.7300000000032</v>
      </c>
    </row>
    <row r="5" spans="1:4" ht="16.05" customHeight="1" x14ac:dyDescent="0.45">
      <c r="A5" s="12" t="s">
        <v>139</v>
      </c>
      <c r="B5" s="13">
        <f>SUMIFS(PQ_Bank_Data!$D:$D,PQ_Bank_Data!$B:$B,"MIA",PQ_Bank_Data!$H:$H,"2025-06",PQ_Bank_Data!$F:$F,"Unmatched - Book Adjustment Needed")</f>
        <v>-10</v>
      </c>
      <c r="C5" s="13">
        <f>SUMIFS(PQ_Bank_Data!$D:$D,PQ_Bank_Data!$B:$B,"CHI",PQ_Bank_Data!$H:$H,"2025-06",PQ_Bank_Data!$F:$F,"Unmatched - Book Adjustment Needed")</f>
        <v>-12.659999999999997</v>
      </c>
      <c r="D5" s="13">
        <f>SUMIFS(PQ_Bank_Data!$D:$D,PQ_Bank_Data!$B:$B,"DAL",PQ_Bank_Data!$H:$H,"2025-06",PQ_Bank_Data!$F:$F,"Unmatched - Book Adjustment Needed")</f>
        <v>-13.149999999999999</v>
      </c>
    </row>
    <row r="6" spans="1:4" ht="16.05" customHeight="1" x14ac:dyDescent="0.45">
      <c r="A6" s="14" t="s">
        <v>140</v>
      </c>
      <c r="B6" s="15">
        <f>B4+B5</f>
        <v>33014.53</v>
      </c>
      <c r="C6" s="15">
        <f>C4+C5</f>
        <v>10388.190000000006</v>
      </c>
      <c r="D6" s="15">
        <f>D4+D5</f>
        <v>7667.5800000000036</v>
      </c>
    </row>
    <row r="8" spans="1:4" ht="16.05" customHeight="1" x14ac:dyDescent="0.45">
      <c r="A8" s="12" t="s">
        <v>141</v>
      </c>
      <c r="B8" s="13">
        <f>SUMIFS(PQ_Bank_Data!$D:$D,PQ_Bank_Data!$B:$B,"MIA",PQ_Bank_Data!$H:$H,"2025-06")</f>
        <v>35646.07</v>
      </c>
      <c r="C8" s="13">
        <f>SUMIFS(PQ_Bank_Data!$D:$D,PQ_Bank_Data!$B:$B,"CHI",PQ_Bank_Data!$H:$H,"2025-06")</f>
        <v>12003.779999999999</v>
      </c>
      <c r="D8" s="13">
        <f>SUMIFS(PQ_Bank_Data!$D:$D,PQ_Bank_Data!$B:$B,"DAL",PQ_Bank_Data!$H:$H,"2025-06")</f>
        <v>8990.3599999999951</v>
      </c>
    </row>
    <row r="9" spans="1:4" ht="16.05" customHeight="1" x14ac:dyDescent="0.45">
      <c r="A9" s="12" t="s">
        <v>142</v>
      </c>
      <c r="B9" s="13">
        <f>B4-(SUMIFS(PQ_Bank_Data!$D:$D,PQ_Bank_Data!$B:$B,"MIA",PQ_Bank_Data!$H:$H,"2025-06",PQ_Bank_Data!$F:$F,"Matched"))</f>
        <v>-2631.5400000000009</v>
      </c>
      <c r="C9" s="13">
        <f>C4-(SUMIFS(PQ_Bank_Data!$D:$D,PQ_Bank_Data!$B:$B,"CHI",PQ_Bank_Data!$H:$H,"2025-06",PQ_Bank_Data!$F:$F,"Matched"))</f>
        <v>-1615.5899999999929</v>
      </c>
      <c r="D9" s="13">
        <f>D4-(SUMIFS(PQ_Bank_Data!$D:$D,PQ_Bank_Data!$B:$B,"DAL",PQ_Bank_Data!$H:$H,"2025-06",PQ_Bank_Data!$F:$F,"Matched"))</f>
        <v>-1322.7799999999916</v>
      </c>
    </row>
    <row r="10" spans="1:4" ht="16.05" customHeight="1" x14ac:dyDescent="0.45">
      <c r="A10" s="14" t="s">
        <v>143</v>
      </c>
      <c r="B10" s="15">
        <f>B8+B9</f>
        <v>33014.53</v>
      </c>
      <c r="C10" s="15">
        <f>C8+C9</f>
        <v>10388.190000000006</v>
      </c>
      <c r="D10" s="15">
        <f>D8+D9</f>
        <v>7667.5800000000036</v>
      </c>
    </row>
    <row r="12" spans="1:4" ht="16.05" customHeight="1" x14ac:dyDescent="0.45">
      <c r="A12" s="14" t="s">
        <v>144</v>
      </c>
      <c r="B12" s="13">
        <f>B6-B10</f>
        <v>0</v>
      </c>
      <c r="C12" s="13">
        <f>C6-C10</f>
        <v>0</v>
      </c>
      <c r="D12" s="13">
        <f>D6-D10</f>
        <v>0</v>
      </c>
    </row>
  </sheetData>
  <mergeCells count="1">
    <mergeCell ref="A1:D1"/>
  </mergeCells>
  <conditionalFormatting sqref="B12:D12">
    <cfRule type="cellIs" dxfId="1" priority="1" operator="notEqual">
      <formula>0</formula>
    </cfRule>
    <cfRule type="cellIs" dxfId="0" priority="2" operator="equal">
      <formula>0</formula>
    </cfRule>
  </conditionalFormatting>
  <pageMargins left="0.75" right="0.75" top="1" bottom="1" header="0.5" footer="0.5"/>
  <headerFooter>
    <oddFooter>&amp;R_x000D_&amp;1#&amp;"Aptos"&amp;8&amp;K000000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4F5D"/>
  </sheetPr>
  <dimension ref="A1:E30"/>
  <sheetViews>
    <sheetView showGridLines="0" workbookViewId="0">
      <selection sqref="A1:E1"/>
    </sheetView>
  </sheetViews>
  <sheetFormatPr defaultRowHeight="14.25" x14ac:dyDescent="0.45"/>
  <cols>
    <col min="1" max="1" width="46" customWidth="1"/>
    <col min="2" max="5" width="14" customWidth="1"/>
  </cols>
  <sheetData>
    <row r="1" spans="1:5" ht="26" customHeight="1" x14ac:dyDescent="0.45">
      <c r="A1" s="25" t="s">
        <v>145</v>
      </c>
      <c r="B1" s="26"/>
      <c r="C1" s="26"/>
      <c r="D1" s="26"/>
      <c r="E1" s="26"/>
    </row>
    <row r="3" spans="1:5" x14ac:dyDescent="0.45">
      <c r="A3" s="11" t="s">
        <v>137</v>
      </c>
      <c r="B3" s="11" t="s">
        <v>72</v>
      </c>
      <c r="C3" s="11" t="s">
        <v>73</v>
      </c>
      <c r="D3" s="11" t="s">
        <v>74</v>
      </c>
      <c r="E3" s="11" t="s">
        <v>75</v>
      </c>
    </row>
    <row r="4" spans="1:5" x14ac:dyDescent="0.45">
      <c r="A4" s="16" t="s">
        <v>146</v>
      </c>
      <c r="B4" s="17">
        <f>SUMIFS(PQ_GL_Data!$J:$J,PQ_GL_Data!$C:$C,"MIA",PQ_GL_Data!$G:$G,"Revenue",PQ_GL_Data!$H:$H,"No",PQ_GL_Data!$N:$N,"2025-06")-SUMIFS(PQ_GL_Data!$I:$I,PQ_GL_Data!$C:$C,"MIA",PQ_GL_Data!$G:$G,"Revenue",PQ_GL_Data!$H:$H,"No",PQ_GL_Data!$N:$N,"2025-06")</f>
        <v>113863.1</v>
      </c>
      <c r="C4" s="17">
        <f>SUMIFS(PQ_GL_Data!$J:$J,PQ_GL_Data!$C:$C,"CHI",PQ_GL_Data!$G:$G,"Revenue",PQ_GL_Data!$H:$H,"No",PQ_GL_Data!$N:$N,"2025-06")-SUMIFS(PQ_GL_Data!$I:$I,PQ_GL_Data!$C:$C,"CHI",PQ_GL_Data!$G:$G,"Revenue",PQ_GL_Data!$H:$H,"No",PQ_GL_Data!$N:$N,"2025-06")</f>
        <v>69904.78</v>
      </c>
      <c r="D4" s="17">
        <f>SUMIFS(PQ_GL_Data!$J:$J,PQ_GL_Data!$C:$C,"DAL",PQ_GL_Data!$G:$G,"Revenue",PQ_GL_Data!$H:$H,"No",PQ_GL_Data!$N:$N,"2025-06")-SUMIFS(PQ_GL_Data!$I:$I,PQ_GL_Data!$C:$C,"DAL",PQ_GL_Data!$G:$G,"Revenue",PQ_GL_Data!$H:$H,"No",PQ_GL_Data!$N:$N,"2025-06")</f>
        <v>57235.199999999997</v>
      </c>
      <c r="E4" s="18">
        <f>SUM(B4:D4)</f>
        <v>241003.08000000002</v>
      </c>
    </row>
    <row r="5" spans="1:5" x14ac:dyDescent="0.45">
      <c r="A5" s="16" t="s">
        <v>107</v>
      </c>
      <c r="B5" s="17">
        <f>SUMIFS(PQ_GL_Data!$J:$J,PQ_GL_Data!$C:$C,"MIA",PQ_GL_Data!$G:$G,"Revenue",PQ_GL_Data!$H:$H,"Yes",PQ_GL_Data!$N:$N,"2025-06")-SUMIFS(PQ_GL_Data!$I:$I,PQ_GL_Data!$C:$C,"MIA",PQ_GL_Data!$G:$G,"Revenue",PQ_GL_Data!$H:$H,"Yes",PQ_GL_Data!$N:$N,"2025-06")</f>
        <v>7118.28</v>
      </c>
      <c r="C5" s="17">
        <f>SUMIFS(PQ_GL_Data!$J:$J,PQ_GL_Data!$C:$C,"CHI",PQ_GL_Data!$G:$G,"Revenue",PQ_GL_Data!$H:$H,"Yes",PQ_GL_Data!$N:$N,"2025-06")-SUMIFS(PQ_GL_Data!$I:$I,PQ_GL_Data!$C:$C,"CHI",PQ_GL_Data!$G:$G,"Revenue",PQ_GL_Data!$H:$H,"Yes",PQ_GL_Data!$N:$N,"2025-06")</f>
        <v>0</v>
      </c>
      <c r="D5" s="17">
        <f>SUMIFS(PQ_GL_Data!$J:$J,PQ_GL_Data!$C:$C,"DAL",PQ_GL_Data!$G:$G,"Revenue",PQ_GL_Data!$H:$H,"Yes",PQ_GL_Data!$N:$N,"2025-06")-SUMIFS(PQ_GL_Data!$I:$I,PQ_GL_Data!$C:$C,"DAL",PQ_GL_Data!$G:$G,"Revenue",PQ_GL_Data!$H:$H,"Yes",PQ_GL_Data!$N:$N,"2025-06")</f>
        <v>0</v>
      </c>
      <c r="E5" s="18">
        <f>SUM(B5:D5)</f>
        <v>7118.28</v>
      </c>
    </row>
    <row r="6" spans="1:5" x14ac:dyDescent="0.45">
      <c r="A6" s="19" t="s">
        <v>147</v>
      </c>
      <c r="B6" s="15">
        <f>B4+B5</f>
        <v>120981.38</v>
      </c>
      <c r="C6" s="15">
        <f>C4+C5</f>
        <v>69904.78</v>
      </c>
      <c r="D6" s="15">
        <f>D4+D5</f>
        <v>57235.199999999997</v>
      </c>
      <c r="E6" s="15">
        <f>E4+E5</f>
        <v>248121.36000000002</v>
      </c>
    </row>
    <row r="7" spans="1:5" x14ac:dyDescent="0.45">
      <c r="A7" s="16" t="s">
        <v>148</v>
      </c>
      <c r="B7" s="17">
        <f>SUMIFS(PQ_GL_Data!$I:$I,PQ_GL_Data!$C:$C,"MIA",PQ_GL_Data!$G:$G,"COGS",PQ_GL_Data!$N:$N,"2025-06")-SUMIFS(PQ_GL_Data!$J:$J,PQ_GL_Data!$C:$C,"MIA",PQ_GL_Data!$G:$G,"COGS",PQ_GL_Data!$N:$N,"2025-06")</f>
        <v>11757.6</v>
      </c>
      <c r="C7" s="17">
        <f>SUMIFS(PQ_GL_Data!$I:$I,PQ_GL_Data!$C:$C,"CHI",PQ_GL_Data!$G:$G,"COGS",PQ_GL_Data!$N:$N,"2025-06")-SUMIFS(PQ_GL_Data!$J:$J,PQ_GL_Data!$C:$C,"CHI",PQ_GL_Data!$G:$G,"COGS",PQ_GL_Data!$N:$N,"2025-06")</f>
        <v>7218.43</v>
      </c>
      <c r="D7" s="17">
        <f>SUMIFS(PQ_GL_Data!$I:$I,PQ_GL_Data!$C:$C,"DAL",PQ_GL_Data!$G:$G,"COGS",PQ_GL_Data!$N:$N,"2025-06")-SUMIFS(PQ_GL_Data!$J:$J,PQ_GL_Data!$C:$C,"DAL",PQ_GL_Data!$G:$G,"COGS",PQ_GL_Data!$N:$N,"2025-06")</f>
        <v>5910.16</v>
      </c>
      <c r="E7" s="18">
        <f>SUM(B7:D7)</f>
        <v>24886.19</v>
      </c>
    </row>
    <row r="8" spans="1:5" x14ac:dyDescent="0.45">
      <c r="A8" s="19" t="s">
        <v>149</v>
      </c>
      <c r="B8" s="15">
        <f>B6-B7</f>
        <v>109223.78</v>
      </c>
      <c r="C8" s="15">
        <f>C6-C7</f>
        <v>62686.35</v>
      </c>
      <c r="D8" s="15">
        <f>D6-D7</f>
        <v>51325.039999999994</v>
      </c>
      <c r="E8" s="15">
        <f>E6-E7</f>
        <v>223235.17</v>
      </c>
    </row>
    <row r="10" spans="1:5" x14ac:dyDescent="0.45">
      <c r="A10" s="16" t="s">
        <v>119</v>
      </c>
      <c r="B10" s="17">
        <f>SUMIFS(PQ_GL_Data!$I:$I,PQ_GL_Data!$C:$C,"MIA",PQ_GL_Data!$E:$E,"6010",PQ_GL_Data!$N:$N,"2025-06")-SUMIFS(PQ_GL_Data!$J:$J,PQ_GL_Data!$C:$C,"MIA",PQ_GL_Data!$E:$E,"6010",PQ_GL_Data!$N:$N,"2025-06")</f>
        <v>49364</v>
      </c>
      <c r="C10" s="17">
        <f>SUMIFS(PQ_GL_Data!$I:$I,PQ_GL_Data!$C:$C,"CHI",PQ_GL_Data!$E:$E,"6010",PQ_GL_Data!$N:$N,"2025-06")-SUMIFS(PQ_GL_Data!$J:$J,PQ_GL_Data!$C:$C,"CHI",PQ_GL_Data!$E:$E,"6010",PQ_GL_Data!$N:$N,"2025-06")</f>
        <v>30605.68</v>
      </c>
      <c r="D10" s="17">
        <f>SUMIFS(PQ_GL_Data!$I:$I,PQ_GL_Data!$C:$C,"DAL",PQ_GL_Data!$E:$E,"6010",PQ_GL_Data!$N:$N,"2025-06")-SUMIFS(PQ_GL_Data!$J:$J,PQ_GL_Data!$C:$C,"DAL",PQ_GL_Data!$E:$E,"6010",PQ_GL_Data!$N:$N,"2025-06")</f>
        <v>27150.2</v>
      </c>
      <c r="E10" s="18">
        <f t="shared" ref="E10:E17" si="0">SUM(B10:D10)</f>
        <v>107119.87999999999</v>
      </c>
    </row>
    <row r="11" spans="1:5" x14ac:dyDescent="0.45">
      <c r="A11" s="16" t="s">
        <v>121</v>
      </c>
      <c r="B11" s="17">
        <f>SUMIFS(PQ_GL_Data!$I:$I,PQ_GL_Data!$C:$C,"MIA",PQ_GL_Data!$E:$E,"6020",PQ_GL_Data!$N:$N,"2025-06")-SUMIFS(PQ_GL_Data!$J:$J,PQ_GL_Data!$C:$C,"MIA",PQ_GL_Data!$E:$E,"6020",PQ_GL_Data!$N:$N,"2025-06")</f>
        <v>6910.96</v>
      </c>
      <c r="C11" s="17">
        <f>SUMIFS(PQ_GL_Data!$I:$I,PQ_GL_Data!$C:$C,"CHI",PQ_GL_Data!$E:$E,"6020",PQ_GL_Data!$N:$N,"2025-06")-SUMIFS(PQ_GL_Data!$J:$J,PQ_GL_Data!$C:$C,"CHI",PQ_GL_Data!$E:$E,"6020",PQ_GL_Data!$N:$N,"2025-06")</f>
        <v>4284.8</v>
      </c>
      <c r="D11" s="17">
        <f>SUMIFS(PQ_GL_Data!$I:$I,PQ_GL_Data!$C:$C,"DAL",PQ_GL_Data!$E:$E,"6020",PQ_GL_Data!$N:$N,"2025-06")-SUMIFS(PQ_GL_Data!$J:$J,PQ_GL_Data!$C:$C,"DAL",PQ_GL_Data!$E:$E,"6020",PQ_GL_Data!$N:$N,"2025-06")</f>
        <v>3801.03</v>
      </c>
      <c r="E11" s="18">
        <f t="shared" si="0"/>
        <v>14996.79</v>
      </c>
    </row>
    <row r="12" spans="1:5" x14ac:dyDescent="0.45">
      <c r="A12" s="16" t="s">
        <v>123</v>
      </c>
      <c r="B12" s="17">
        <f>SUMIFS(PQ_GL_Data!$I:$I,PQ_GL_Data!$C:$C,"MIA",PQ_GL_Data!$E:$E,"6030",PQ_GL_Data!$N:$N,"2025-06")-SUMIFS(PQ_GL_Data!$J:$J,PQ_GL_Data!$C:$C,"MIA",PQ_GL_Data!$E:$E,"6030",PQ_GL_Data!$N:$N,"2025-06")</f>
        <v>7378</v>
      </c>
      <c r="C12" s="17">
        <f>SUMIFS(PQ_GL_Data!$I:$I,PQ_GL_Data!$C:$C,"CHI",PQ_GL_Data!$E:$E,"6030",PQ_GL_Data!$N:$N,"2025-06")-SUMIFS(PQ_GL_Data!$J:$J,PQ_GL_Data!$C:$C,"CHI",PQ_GL_Data!$E:$E,"6030",PQ_GL_Data!$N:$N,"2025-06")</f>
        <v>4574.3599999999997</v>
      </c>
      <c r="D12" s="17">
        <f>SUMIFS(PQ_GL_Data!$I:$I,PQ_GL_Data!$C:$C,"DAL",PQ_GL_Data!$E:$E,"6030",PQ_GL_Data!$N:$N,"2025-06")-SUMIFS(PQ_GL_Data!$J:$J,PQ_GL_Data!$C:$C,"DAL",PQ_GL_Data!$E:$E,"6030",PQ_GL_Data!$N:$N,"2025-06")</f>
        <v>4057.9</v>
      </c>
      <c r="E12" s="18">
        <f t="shared" si="0"/>
        <v>16010.26</v>
      </c>
    </row>
    <row r="13" spans="1:5" x14ac:dyDescent="0.45">
      <c r="A13" s="16" t="s">
        <v>125</v>
      </c>
      <c r="B13" s="17">
        <f>SUMIFS(PQ_GL_Data!$I:$I,PQ_GL_Data!$C:$C,"MIA",PQ_GL_Data!$E:$E,"6040",PQ_GL_Data!$N:$N,"2025-06")-SUMIFS(PQ_GL_Data!$J:$J,PQ_GL_Data!$C:$C,"MIA",PQ_GL_Data!$E:$E,"6040",PQ_GL_Data!$N:$N,"2025-06")</f>
        <v>3289.42</v>
      </c>
      <c r="C13" s="17">
        <f>SUMIFS(PQ_GL_Data!$I:$I,PQ_GL_Data!$C:$C,"CHI",PQ_GL_Data!$E:$E,"6040",PQ_GL_Data!$N:$N,"2025-06")-SUMIFS(PQ_GL_Data!$J:$J,PQ_GL_Data!$C:$C,"CHI",PQ_GL_Data!$E:$E,"6040",PQ_GL_Data!$N:$N,"2025-06")</f>
        <v>2019.49</v>
      </c>
      <c r="D13" s="17">
        <f>SUMIFS(PQ_GL_Data!$I:$I,PQ_GL_Data!$C:$C,"DAL",PQ_GL_Data!$E:$E,"6040",PQ_GL_Data!$N:$N,"2025-06")-SUMIFS(PQ_GL_Data!$J:$J,PQ_GL_Data!$C:$C,"DAL",PQ_GL_Data!$E:$E,"6040",PQ_GL_Data!$N:$N,"2025-06")</f>
        <v>1653.48</v>
      </c>
      <c r="E13" s="18">
        <f t="shared" si="0"/>
        <v>6962.3899999999994</v>
      </c>
    </row>
    <row r="14" spans="1:5" x14ac:dyDescent="0.45">
      <c r="A14" s="16" t="s">
        <v>127</v>
      </c>
      <c r="B14" s="17">
        <f>SUMIFS(PQ_GL_Data!$I:$I,PQ_GL_Data!$C:$C,"MIA",PQ_GL_Data!$E:$E,"6050",PQ_GL_Data!$N:$N,"2025-06")-SUMIFS(PQ_GL_Data!$J:$J,PQ_GL_Data!$C:$C,"MIA",PQ_GL_Data!$E:$E,"6050",PQ_GL_Data!$N:$N,"2025-06")</f>
        <v>1450</v>
      </c>
      <c r="C14" s="17">
        <f>SUMIFS(PQ_GL_Data!$I:$I,PQ_GL_Data!$C:$C,"CHI",PQ_GL_Data!$E:$E,"6050",PQ_GL_Data!$N:$N,"2025-06")-SUMIFS(PQ_GL_Data!$J:$J,PQ_GL_Data!$C:$C,"CHI",PQ_GL_Data!$E:$E,"6050",PQ_GL_Data!$N:$N,"2025-06")</f>
        <v>899</v>
      </c>
      <c r="D14" s="17">
        <f>SUMIFS(PQ_GL_Data!$I:$I,PQ_GL_Data!$C:$C,"DAL",PQ_GL_Data!$E:$E,"6050",PQ_GL_Data!$N:$N,"2025-06")-SUMIFS(PQ_GL_Data!$J:$J,PQ_GL_Data!$C:$C,"DAL",PQ_GL_Data!$E:$E,"6050",PQ_GL_Data!$N:$N,"2025-06")</f>
        <v>797.5</v>
      </c>
      <c r="E14" s="18">
        <f t="shared" si="0"/>
        <v>3146.5</v>
      </c>
    </row>
    <row r="15" spans="1:5" x14ac:dyDescent="0.45">
      <c r="A15" s="16" t="s">
        <v>129</v>
      </c>
      <c r="B15" s="17">
        <f>SUMIFS(PQ_GL_Data!$I:$I,PQ_GL_Data!$C:$C,"MIA",PQ_GL_Data!$E:$E,"6060",PQ_GL_Data!$N:$N,"2025-06")-SUMIFS(PQ_GL_Data!$J:$J,PQ_GL_Data!$C:$C,"MIA",PQ_GL_Data!$E:$E,"6060",PQ_GL_Data!$N:$N,"2025-06")</f>
        <v>2457</v>
      </c>
      <c r="C15" s="17">
        <f>SUMIFS(PQ_GL_Data!$I:$I,PQ_GL_Data!$C:$C,"CHI",PQ_GL_Data!$E:$E,"6060",PQ_GL_Data!$N:$N,"2025-06")-SUMIFS(PQ_GL_Data!$J:$J,PQ_GL_Data!$C:$C,"CHI",PQ_GL_Data!$E:$E,"6060",PQ_GL_Data!$N:$N,"2025-06")</f>
        <v>1523.34</v>
      </c>
      <c r="D15" s="17">
        <f>SUMIFS(PQ_GL_Data!$I:$I,PQ_GL_Data!$C:$C,"DAL",PQ_GL_Data!$E:$E,"6060",PQ_GL_Data!$N:$N,"2025-06")-SUMIFS(PQ_GL_Data!$J:$J,PQ_GL_Data!$C:$C,"DAL",PQ_GL_Data!$E:$E,"6060",PQ_GL_Data!$N:$N,"2025-06")</f>
        <v>1351.35</v>
      </c>
      <c r="E15" s="18">
        <f t="shared" si="0"/>
        <v>5331.6900000000005</v>
      </c>
    </row>
    <row r="16" spans="1:5" x14ac:dyDescent="0.45">
      <c r="A16" s="16" t="s">
        <v>131</v>
      </c>
      <c r="B16" s="17">
        <f>SUMIFS(PQ_GL_Data!$I:$I,PQ_GL_Data!$C:$C,"MIA",PQ_GL_Data!$E:$E,"6070",PQ_GL_Data!$N:$N,"2025-06")-SUMIFS(PQ_GL_Data!$J:$J,PQ_GL_Data!$C:$C,"MIA",PQ_GL_Data!$E:$E,"6070",PQ_GL_Data!$N:$N,"2025-06")</f>
        <v>0</v>
      </c>
      <c r="C16" s="17">
        <f>SUMIFS(PQ_GL_Data!$I:$I,PQ_GL_Data!$C:$C,"CHI",PQ_GL_Data!$E:$E,"6070",PQ_GL_Data!$N:$N,"2025-06")-SUMIFS(PQ_GL_Data!$J:$J,PQ_GL_Data!$C:$C,"CHI",PQ_GL_Data!$E:$E,"6070",PQ_GL_Data!$N:$N,"2025-06")</f>
        <v>3772.08</v>
      </c>
      <c r="D16" s="17">
        <f>SUMIFS(PQ_GL_Data!$I:$I,PQ_GL_Data!$C:$C,"DAL",PQ_GL_Data!$E:$E,"6070",PQ_GL_Data!$N:$N,"2025-06")-SUMIFS(PQ_GL_Data!$J:$J,PQ_GL_Data!$C:$C,"DAL",PQ_GL_Data!$E:$E,"6070",PQ_GL_Data!$N:$N,"2025-06")</f>
        <v>3346.2</v>
      </c>
      <c r="E16" s="18">
        <f t="shared" si="0"/>
        <v>7118.28</v>
      </c>
    </row>
    <row r="17" spans="1:5" x14ac:dyDescent="0.45">
      <c r="A17" s="16" t="s">
        <v>133</v>
      </c>
      <c r="B17" s="17">
        <f>SUMIFS(PQ_GL_Data!$I:$I,PQ_GL_Data!$C:$C,"MIA",PQ_GL_Data!$E:$E,"7000",PQ_GL_Data!$N:$N,"2025-06")-SUMIFS(PQ_GL_Data!$J:$J,PQ_GL_Data!$C:$C,"MIA",PQ_GL_Data!$E:$E,"7000",PQ_GL_Data!$N:$N,"2025-06")</f>
        <v>1100</v>
      </c>
      <c r="C17" s="17">
        <f>SUMIFS(PQ_GL_Data!$I:$I,PQ_GL_Data!$C:$C,"CHI",PQ_GL_Data!$E:$E,"7000",PQ_GL_Data!$N:$N,"2025-06")-SUMIFS(PQ_GL_Data!$J:$J,PQ_GL_Data!$C:$C,"CHI",PQ_GL_Data!$E:$E,"7000",PQ_GL_Data!$N:$N,"2025-06")</f>
        <v>682</v>
      </c>
      <c r="D17" s="17">
        <f>SUMIFS(PQ_GL_Data!$I:$I,PQ_GL_Data!$C:$C,"DAL",PQ_GL_Data!$E:$E,"7000",PQ_GL_Data!$N:$N,"2025-06")-SUMIFS(PQ_GL_Data!$J:$J,PQ_GL_Data!$C:$C,"DAL",PQ_GL_Data!$E:$E,"7000",PQ_GL_Data!$N:$N,"2025-06")</f>
        <v>605</v>
      </c>
      <c r="E17" s="18">
        <f t="shared" si="0"/>
        <v>2387</v>
      </c>
    </row>
    <row r="18" spans="1:5" x14ac:dyDescent="0.45">
      <c r="A18" s="19" t="s">
        <v>150</v>
      </c>
      <c r="B18" s="15">
        <f>B10+B11+B12+B13+B14+B15+B16+B17</f>
        <v>71949.38</v>
      </c>
      <c r="C18" s="15">
        <f>C10+C11+C12+C13+C14+C15+C16+C17</f>
        <v>48360.75</v>
      </c>
      <c r="D18" s="15">
        <f>D10+D11+D12+D13+D14+D15+D16+D17</f>
        <v>42762.659999999996</v>
      </c>
      <c r="E18" s="15">
        <f>E10+E11+E12+E13+E14+E15+E16+E17</f>
        <v>163072.79</v>
      </c>
    </row>
    <row r="19" spans="1:5" x14ac:dyDescent="0.45">
      <c r="A19" s="19" t="s">
        <v>151</v>
      </c>
      <c r="B19" s="15">
        <f>B8-B18</f>
        <v>37274.399999999994</v>
      </c>
      <c r="C19" s="15">
        <f>C8-C18</f>
        <v>14325.599999999999</v>
      </c>
      <c r="D19" s="15">
        <f>D8-D18</f>
        <v>8562.3799999999974</v>
      </c>
      <c r="E19" s="15">
        <f>E8-E18</f>
        <v>60162.380000000005</v>
      </c>
    </row>
    <row r="21" spans="1:5" x14ac:dyDescent="0.45">
      <c r="A21" s="32" t="s">
        <v>152</v>
      </c>
      <c r="B21" s="26"/>
      <c r="C21" s="26"/>
      <c r="D21" s="26"/>
      <c r="E21" s="26"/>
    </row>
    <row r="22" spans="1:5" x14ac:dyDescent="0.45">
      <c r="A22" s="16" t="s">
        <v>153</v>
      </c>
      <c r="E22" s="17">
        <f>-E5</f>
        <v>-7118.28</v>
      </c>
    </row>
    <row r="23" spans="1:5" x14ac:dyDescent="0.45">
      <c r="A23" s="16" t="s">
        <v>154</v>
      </c>
      <c r="E23" s="17">
        <f>-E16</f>
        <v>-7118.28</v>
      </c>
    </row>
    <row r="25" spans="1:5" x14ac:dyDescent="0.45">
      <c r="A25" s="19" t="s">
        <v>155</v>
      </c>
      <c r="E25" s="15">
        <f>E6+E22</f>
        <v>241003.08000000002</v>
      </c>
    </row>
    <row r="26" spans="1:5" x14ac:dyDescent="0.45">
      <c r="A26" s="19" t="s">
        <v>156</v>
      </c>
      <c r="E26" s="15">
        <f>E18+E23</f>
        <v>155954.51</v>
      </c>
    </row>
    <row r="28" spans="1:5" ht="15" x14ac:dyDescent="0.45">
      <c r="A28" s="20" t="s">
        <v>157</v>
      </c>
      <c r="E28" s="21">
        <f>E25-E7-E26</f>
        <v>60162.380000000005</v>
      </c>
    </row>
    <row r="30" spans="1:5" ht="48" customHeight="1" x14ac:dyDescent="0.45">
      <c r="A30" s="33" t="s">
        <v>158</v>
      </c>
      <c r="B30" s="26"/>
      <c r="C30" s="26"/>
      <c r="D30" s="26"/>
      <c r="E30" s="26"/>
    </row>
  </sheetData>
  <mergeCells count="3">
    <mergeCell ref="A21:E21"/>
    <mergeCell ref="A1:E1"/>
    <mergeCell ref="A30:E30"/>
  </mergeCells>
  <pageMargins left="0.75" right="0.75" top="1" bottom="1" header="0.5" footer="0.5"/>
  <headerFooter>
    <oddFooter>&amp;R_x000D_&amp;1#&amp;"Aptos"&amp;8&amp;K000000 Cisco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4F5D"/>
  </sheetPr>
  <dimension ref="A1:G35"/>
  <sheetViews>
    <sheetView showGridLines="0" workbookViewId="0">
      <pane ySplit="3" topLeftCell="A4" activePane="bottomLeft" state="frozen"/>
      <selection pane="bottomLeft" sqref="A1:F1"/>
    </sheetView>
  </sheetViews>
  <sheetFormatPr defaultRowHeight="14.25" x14ac:dyDescent="0.45"/>
  <cols>
    <col min="1" max="1" width="8" customWidth="1"/>
    <col min="2" max="2" width="36" customWidth="1"/>
    <col min="3" max="4" width="14" customWidth="1"/>
    <col min="5" max="5" width="18" customWidth="1"/>
    <col min="6" max="6" width="12" customWidth="1"/>
    <col min="7" max="7" width="14" customWidth="1"/>
  </cols>
  <sheetData>
    <row r="1" spans="1:7" ht="26" customHeight="1" x14ac:dyDescent="0.45">
      <c r="A1" s="25" t="s">
        <v>159</v>
      </c>
      <c r="B1" s="26"/>
      <c r="C1" s="26"/>
      <c r="D1" s="26"/>
      <c r="E1" s="26"/>
      <c r="F1" s="26"/>
    </row>
    <row r="3" spans="1:7" ht="28.5" x14ac:dyDescent="0.45">
      <c r="A3" s="3" t="s">
        <v>160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</row>
    <row r="4" spans="1:7" x14ac:dyDescent="0.45">
      <c r="A4" s="22" t="s">
        <v>72</v>
      </c>
      <c r="B4" s="22" t="s">
        <v>167</v>
      </c>
      <c r="C4" s="9">
        <f>SUMIFS(PQ_Budget_Data!$F:$F,PQ_Budget_Data!$B:$B,"MIA",PQ_Budget_Data!$D:$D,"4010",PQ_Budget_Data!$G:$G,"2025-06")</f>
        <v>46738.17</v>
      </c>
      <c r="D4" s="9">
        <f>SUMIFS(PQ_GL_Data!$J:$J,PQ_GL_Data!$C:$C,"MIA",PQ_GL_Data!$E:$E,"4010",PQ_GL_Data!$N:$N,"2025-06")-SUMIFS(PQ_GL_Data!$I:$I,PQ_GL_Data!$C:$C,"MIA",PQ_GL_Data!$E:$E,"4010",PQ_GL_Data!$N:$N,"2025-06")</f>
        <v>47822.5</v>
      </c>
      <c r="E4" s="9">
        <f t="shared" ref="E4:E35" si="0">D4-C4</f>
        <v>1084.3300000000017</v>
      </c>
      <c r="F4" s="23">
        <f t="shared" ref="F4:F35" si="1">IFERROR(E4/C4,0)</f>
        <v>2.3200095339633575E-2</v>
      </c>
      <c r="G4" s="24">
        <f t="shared" ref="G4:G35" si="2">RANK(E4,$E$4:$E$35,0)</f>
        <v>3</v>
      </c>
    </row>
    <row r="5" spans="1:7" x14ac:dyDescent="0.45">
      <c r="A5" s="22" t="s">
        <v>72</v>
      </c>
      <c r="B5" s="22" t="s">
        <v>168</v>
      </c>
      <c r="C5" s="9">
        <f>SUMIFS(PQ_Budget_Data!$F:$F,PQ_Budget_Data!$B:$B,"MIA",PQ_Budget_Data!$D:$D,"4020",PQ_Budget_Data!$G:$G,"2025-06")</f>
        <v>36939.51</v>
      </c>
      <c r="D5" s="9">
        <f>SUMIFS(PQ_GL_Data!$J:$J,PQ_GL_Data!$C:$C,"MIA",PQ_GL_Data!$E:$E,"4020",PQ_GL_Data!$N:$N,"2025-06")-SUMIFS(PQ_GL_Data!$I:$I,PQ_GL_Data!$C:$C,"MIA",PQ_GL_Data!$E:$E,"4020",PQ_GL_Data!$N:$N,"2025-06")</f>
        <v>37574.82</v>
      </c>
      <c r="E5" s="9">
        <f t="shared" si="0"/>
        <v>635.30999999999767</v>
      </c>
      <c r="F5" s="23">
        <f t="shared" si="1"/>
        <v>1.7198658022263901E-2</v>
      </c>
      <c r="G5" s="24">
        <f t="shared" si="2"/>
        <v>7</v>
      </c>
    </row>
    <row r="6" spans="1:7" x14ac:dyDescent="0.45">
      <c r="A6" s="22" t="s">
        <v>72</v>
      </c>
      <c r="B6" s="22" t="s">
        <v>169</v>
      </c>
      <c r="C6" s="9">
        <f>SUMIFS(PQ_Budget_Data!$F:$F,PQ_Budget_Data!$B:$B,"MIA",PQ_Budget_Data!$D:$D,"4030",PQ_Budget_Data!$G:$G,"2025-06")</f>
        <v>27684.41</v>
      </c>
      <c r="D6" s="9">
        <f>SUMIFS(PQ_GL_Data!$J:$J,PQ_GL_Data!$C:$C,"MIA",PQ_GL_Data!$E:$E,"4030",PQ_GL_Data!$N:$N,"2025-06")-SUMIFS(PQ_GL_Data!$I:$I,PQ_GL_Data!$C:$C,"MIA",PQ_GL_Data!$E:$E,"4030",PQ_GL_Data!$N:$N,"2025-06")</f>
        <v>28465.78</v>
      </c>
      <c r="E6" s="9">
        <f t="shared" si="0"/>
        <v>781.36999999999898</v>
      </c>
      <c r="F6" s="23">
        <f t="shared" si="1"/>
        <v>2.8224188270582578E-2</v>
      </c>
      <c r="G6" s="24">
        <f t="shared" si="2"/>
        <v>5</v>
      </c>
    </row>
    <row r="7" spans="1:7" x14ac:dyDescent="0.45">
      <c r="A7" s="22" t="s">
        <v>72</v>
      </c>
      <c r="B7" s="22" t="s">
        <v>170</v>
      </c>
      <c r="C7" s="9">
        <f>SUMIFS(PQ_Budget_Data!$F:$F,PQ_Budget_Data!$B:$B,"MIA",PQ_Budget_Data!$D:$D,"6010",PQ_Budget_Data!$G:$G,"2025-06")</f>
        <v>48699.54</v>
      </c>
      <c r="D7" s="9">
        <f>SUMIFS(PQ_GL_Data!$I:$I,PQ_GL_Data!$C:$C,"MIA",PQ_GL_Data!$E:$E,"6010",PQ_GL_Data!$N:$N,"2025-06")-SUMIFS(PQ_GL_Data!$J:$J,PQ_GL_Data!$C:$C,"MIA",PQ_GL_Data!$E:$E,"6010",PQ_GL_Data!$N:$N,"2025-06")</f>
        <v>49364</v>
      </c>
      <c r="E7" s="9">
        <f t="shared" si="0"/>
        <v>664.45999999999913</v>
      </c>
      <c r="F7" s="23">
        <f t="shared" si="1"/>
        <v>1.3644071381372372E-2</v>
      </c>
      <c r="G7" s="24">
        <f t="shared" si="2"/>
        <v>6</v>
      </c>
    </row>
    <row r="8" spans="1:7" x14ac:dyDescent="0.45">
      <c r="A8" s="22" t="s">
        <v>72</v>
      </c>
      <c r="B8" s="22" t="s">
        <v>171</v>
      </c>
      <c r="C8" s="9">
        <f>SUMIFS(PQ_Budget_Data!$F:$F,PQ_Budget_Data!$B:$B,"MIA",PQ_Budget_Data!$D:$D,"6020",PQ_Budget_Data!$G:$G,"2025-06")</f>
        <v>6946.5</v>
      </c>
      <c r="D8" s="9">
        <f>SUMIFS(PQ_GL_Data!$I:$I,PQ_GL_Data!$C:$C,"MIA",PQ_GL_Data!$E:$E,"6020",PQ_GL_Data!$N:$N,"2025-06")-SUMIFS(PQ_GL_Data!$J:$J,PQ_GL_Data!$C:$C,"MIA",PQ_GL_Data!$E:$E,"6020",PQ_GL_Data!$N:$N,"2025-06")</f>
        <v>6910.96</v>
      </c>
      <c r="E8" s="9">
        <f t="shared" si="0"/>
        <v>-35.539999999999964</v>
      </c>
      <c r="F8" s="23">
        <f t="shared" si="1"/>
        <v>-5.1162455913049687E-3</v>
      </c>
      <c r="G8" s="24">
        <f t="shared" si="2"/>
        <v>27</v>
      </c>
    </row>
    <row r="9" spans="1:7" x14ac:dyDescent="0.45">
      <c r="A9" s="22" t="s">
        <v>72</v>
      </c>
      <c r="B9" s="22" t="s">
        <v>172</v>
      </c>
      <c r="C9" s="9">
        <f>SUMIFS(PQ_Budget_Data!$F:$F,PQ_Budget_Data!$B:$B,"MIA",PQ_Budget_Data!$D:$D,"6030",PQ_Budget_Data!$G:$G,"2025-06")</f>
        <v>7310.39</v>
      </c>
      <c r="D9" s="9">
        <f>SUMIFS(PQ_GL_Data!$I:$I,PQ_GL_Data!$C:$C,"MIA",PQ_GL_Data!$E:$E,"6030",PQ_GL_Data!$N:$N,"2025-06")-SUMIFS(PQ_GL_Data!$J:$J,PQ_GL_Data!$C:$C,"MIA",PQ_GL_Data!$E:$E,"6030",PQ_GL_Data!$N:$N,"2025-06")</f>
        <v>7378</v>
      </c>
      <c r="E9" s="9">
        <f t="shared" si="0"/>
        <v>67.609999999999673</v>
      </c>
      <c r="F9" s="23">
        <f t="shared" si="1"/>
        <v>9.2484805872189678E-3</v>
      </c>
      <c r="G9" s="24">
        <f t="shared" si="2"/>
        <v>13</v>
      </c>
    </row>
    <row r="10" spans="1:7" x14ac:dyDescent="0.45">
      <c r="A10" s="22" t="s">
        <v>72</v>
      </c>
      <c r="B10" s="22" t="s">
        <v>173</v>
      </c>
      <c r="C10" s="9">
        <f>SUMIFS(PQ_Budget_Data!$F:$F,PQ_Budget_Data!$B:$B,"MIA",PQ_Budget_Data!$D:$D,"6040",PQ_Budget_Data!$G:$G,"2025-06")</f>
        <v>3044.1</v>
      </c>
      <c r="D10" s="9">
        <f>SUMIFS(PQ_GL_Data!$I:$I,PQ_GL_Data!$C:$C,"MIA",PQ_GL_Data!$E:$E,"6040",PQ_GL_Data!$N:$N,"2025-06")-SUMIFS(PQ_GL_Data!$J:$J,PQ_GL_Data!$C:$C,"MIA",PQ_GL_Data!$E:$E,"6040",PQ_GL_Data!$N:$N,"2025-06")</f>
        <v>3289.42</v>
      </c>
      <c r="E10" s="9">
        <f t="shared" si="0"/>
        <v>245.32000000000016</v>
      </c>
      <c r="F10" s="23">
        <f t="shared" si="1"/>
        <v>8.0588679741138647E-2</v>
      </c>
      <c r="G10" s="24">
        <f t="shared" si="2"/>
        <v>10</v>
      </c>
    </row>
    <row r="11" spans="1:7" x14ac:dyDescent="0.45">
      <c r="A11" s="22" t="s">
        <v>72</v>
      </c>
      <c r="B11" s="22" t="s">
        <v>174</v>
      </c>
      <c r="C11" s="9">
        <f>SUMIFS(PQ_Budget_Data!$F:$F,PQ_Budget_Data!$B:$B,"MIA",PQ_Budget_Data!$D:$D,"6050",PQ_Budget_Data!$G:$G,"2025-06")</f>
        <v>1428</v>
      </c>
      <c r="D11" s="9">
        <f>SUMIFS(PQ_GL_Data!$I:$I,PQ_GL_Data!$C:$C,"MIA",PQ_GL_Data!$E:$E,"6050",PQ_GL_Data!$N:$N,"2025-06")-SUMIFS(PQ_GL_Data!$J:$J,PQ_GL_Data!$C:$C,"MIA",PQ_GL_Data!$E:$E,"6050",PQ_GL_Data!$N:$N,"2025-06")</f>
        <v>1450</v>
      </c>
      <c r="E11" s="9">
        <f t="shared" si="0"/>
        <v>22</v>
      </c>
      <c r="F11" s="23">
        <f t="shared" si="1"/>
        <v>1.5406162464985995E-2</v>
      </c>
      <c r="G11" s="24">
        <f t="shared" si="2"/>
        <v>17</v>
      </c>
    </row>
    <row r="12" spans="1:7" x14ac:dyDescent="0.45">
      <c r="A12" s="22" t="s">
        <v>72</v>
      </c>
      <c r="B12" s="22" t="s">
        <v>175</v>
      </c>
      <c r="C12" s="9">
        <f>SUMIFS(PQ_Budget_Data!$F:$F,PQ_Budget_Data!$B:$B,"MIA",PQ_Budget_Data!$D:$D,"6060",PQ_Budget_Data!$G:$G,"2025-06")</f>
        <v>2381.4699999999998</v>
      </c>
      <c r="D12" s="9">
        <f>SUMIFS(PQ_GL_Data!$I:$I,PQ_GL_Data!$C:$C,"MIA",PQ_GL_Data!$E:$E,"6060",PQ_GL_Data!$N:$N,"2025-06")-SUMIFS(PQ_GL_Data!$J:$J,PQ_GL_Data!$C:$C,"MIA",PQ_GL_Data!$E:$E,"6060",PQ_GL_Data!$N:$N,"2025-06")</f>
        <v>2457</v>
      </c>
      <c r="E12" s="9">
        <f t="shared" si="0"/>
        <v>75.5300000000002</v>
      </c>
      <c r="F12" s="23">
        <f t="shared" si="1"/>
        <v>3.1715705005731842E-2</v>
      </c>
      <c r="G12" s="24">
        <f t="shared" si="2"/>
        <v>12</v>
      </c>
    </row>
    <row r="13" spans="1:7" x14ac:dyDescent="0.45">
      <c r="A13" s="22" t="s">
        <v>72</v>
      </c>
      <c r="B13" s="22" t="s">
        <v>176</v>
      </c>
      <c r="C13" s="9">
        <f>SUMIFS(PQ_Budget_Data!$F:$F,PQ_Budget_Data!$B:$B,"MIA",PQ_Budget_Data!$D:$D,"7000",PQ_Budget_Data!$G:$G,"2025-06")</f>
        <v>1083.26</v>
      </c>
      <c r="D13" s="9">
        <f>SUMIFS(PQ_GL_Data!$I:$I,PQ_GL_Data!$C:$C,"MIA",PQ_GL_Data!$E:$E,"7000",PQ_GL_Data!$N:$N,"2025-06")-SUMIFS(PQ_GL_Data!$J:$J,PQ_GL_Data!$C:$C,"MIA",PQ_GL_Data!$E:$E,"7000",PQ_GL_Data!$N:$N,"2025-06")</f>
        <v>1100</v>
      </c>
      <c r="E13" s="9">
        <f t="shared" si="0"/>
        <v>16.740000000000009</v>
      </c>
      <c r="F13" s="23">
        <f t="shared" si="1"/>
        <v>1.5453353765485673E-2</v>
      </c>
      <c r="G13" s="24">
        <f t="shared" si="2"/>
        <v>18</v>
      </c>
    </row>
    <row r="14" spans="1:7" x14ac:dyDescent="0.45">
      <c r="A14" s="22" t="s">
        <v>73</v>
      </c>
      <c r="B14" s="22" t="s">
        <v>167</v>
      </c>
      <c r="C14" s="9">
        <f>SUMIFS(PQ_Budget_Data!$F:$F,PQ_Budget_Data!$B:$B,"CHI",PQ_Budget_Data!$D:$D,"4010",PQ_Budget_Data!$G:$G,"2025-06")</f>
        <v>29542.6</v>
      </c>
      <c r="D14" s="9">
        <f>SUMIFS(PQ_GL_Data!$J:$J,PQ_GL_Data!$C:$C,"CHI",PQ_GL_Data!$E:$E,"4010",PQ_GL_Data!$N:$N,"2025-06")-SUMIFS(PQ_GL_Data!$I:$I,PQ_GL_Data!$C:$C,"CHI",PQ_GL_Data!$E:$E,"4010",PQ_GL_Data!$N:$N,"2025-06")</f>
        <v>29360.01</v>
      </c>
      <c r="E14" s="9">
        <f t="shared" si="0"/>
        <v>-182.59000000000015</v>
      </c>
      <c r="F14" s="23">
        <f t="shared" si="1"/>
        <v>-6.1805663685660763E-3</v>
      </c>
      <c r="G14" s="24">
        <f t="shared" si="2"/>
        <v>30</v>
      </c>
    </row>
    <row r="15" spans="1:7" x14ac:dyDescent="0.45">
      <c r="A15" s="22" t="s">
        <v>73</v>
      </c>
      <c r="B15" s="22" t="s">
        <v>168</v>
      </c>
      <c r="C15" s="9">
        <f>SUMIFS(PQ_Budget_Data!$F:$F,PQ_Budget_Data!$B:$B,"CHI",PQ_Budget_Data!$D:$D,"4020",PQ_Budget_Data!$G:$G,"2025-06")</f>
        <v>21880.89</v>
      </c>
      <c r="D15" s="9">
        <f>SUMIFS(PQ_GL_Data!$J:$J,PQ_GL_Data!$C:$C,"CHI",PQ_GL_Data!$E:$E,"4020",PQ_GL_Data!$N:$N,"2025-06")-SUMIFS(PQ_GL_Data!$I:$I,PQ_GL_Data!$C:$C,"CHI",PQ_GL_Data!$E:$E,"4020",PQ_GL_Data!$N:$N,"2025-06")</f>
        <v>23068.58</v>
      </c>
      <c r="E15" s="9">
        <f t="shared" si="0"/>
        <v>1187.6900000000023</v>
      </c>
      <c r="F15" s="23">
        <f t="shared" si="1"/>
        <v>5.4279784780235284E-2</v>
      </c>
      <c r="G15" s="24">
        <f t="shared" si="2"/>
        <v>2</v>
      </c>
    </row>
    <row r="16" spans="1:7" x14ac:dyDescent="0.45">
      <c r="A16" s="22" t="s">
        <v>73</v>
      </c>
      <c r="B16" s="22" t="s">
        <v>169</v>
      </c>
      <c r="C16" s="9">
        <f>SUMIFS(PQ_Budget_Data!$F:$F,PQ_Budget_Data!$B:$B,"CHI",PQ_Budget_Data!$D:$D,"4030",PQ_Budget_Data!$G:$G,"2025-06")</f>
        <v>16631.009999999998</v>
      </c>
      <c r="D16" s="9">
        <f>SUMIFS(PQ_GL_Data!$J:$J,PQ_GL_Data!$C:$C,"CHI",PQ_GL_Data!$E:$E,"4030",PQ_GL_Data!$N:$N,"2025-06")-SUMIFS(PQ_GL_Data!$I:$I,PQ_GL_Data!$C:$C,"CHI",PQ_GL_Data!$E:$E,"4030",PQ_GL_Data!$N:$N,"2025-06")</f>
        <v>17476.189999999999</v>
      </c>
      <c r="E16" s="9">
        <f t="shared" si="0"/>
        <v>845.18000000000029</v>
      </c>
      <c r="F16" s="23">
        <f t="shared" si="1"/>
        <v>5.0819523288122635E-2</v>
      </c>
      <c r="G16" s="24">
        <f t="shared" si="2"/>
        <v>4</v>
      </c>
    </row>
    <row r="17" spans="1:7" x14ac:dyDescent="0.45">
      <c r="A17" s="22" t="s">
        <v>73</v>
      </c>
      <c r="B17" s="22" t="s">
        <v>170</v>
      </c>
      <c r="C17" s="9">
        <f>SUMIFS(PQ_Budget_Data!$F:$F,PQ_Budget_Data!$B:$B,"CHI",PQ_Budget_Data!$D:$D,"6010",PQ_Budget_Data!$G:$G,"2025-06")</f>
        <v>30796.33</v>
      </c>
      <c r="D17" s="9">
        <f>SUMIFS(PQ_GL_Data!$I:$I,PQ_GL_Data!$C:$C,"CHI",PQ_GL_Data!$E:$E,"6010",PQ_GL_Data!$N:$N,"2025-06")-SUMIFS(PQ_GL_Data!$J:$J,PQ_GL_Data!$C:$C,"CHI",PQ_GL_Data!$E:$E,"6010",PQ_GL_Data!$N:$N,"2025-06")</f>
        <v>30605.68</v>
      </c>
      <c r="E17" s="9">
        <f t="shared" si="0"/>
        <v>-190.65000000000146</v>
      </c>
      <c r="F17" s="23">
        <f t="shared" si="1"/>
        <v>-6.1906727197689288E-3</v>
      </c>
      <c r="G17" s="24">
        <f t="shared" si="2"/>
        <v>32</v>
      </c>
    </row>
    <row r="18" spans="1:7" x14ac:dyDescent="0.45">
      <c r="A18" s="22" t="s">
        <v>73</v>
      </c>
      <c r="B18" s="22" t="s">
        <v>171</v>
      </c>
      <c r="C18" s="9">
        <f>SUMIFS(PQ_Budget_Data!$F:$F,PQ_Budget_Data!$B:$B,"CHI",PQ_Budget_Data!$D:$D,"6020",PQ_Budget_Data!$G:$G,"2025-06")</f>
        <v>4365.4799999999996</v>
      </c>
      <c r="D18" s="9">
        <f>SUMIFS(PQ_GL_Data!$I:$I,PQ_GL_Data!$C:$C,"CHI",PQ_GL_Data!$E:$E,"6020",PQ_GL_Data!$N:$N,"2025-06")-SUMIFS(PQ_GL_Data!$J:$J,PQ_GL_Data!$C:$C,"CHI",PQ_GL_Data!$E:$E,"6020",PQ_GL_Data!$N:$N,"2025-06")</f>
        <v>4284.8</v>
      </c>
      <c r="E18" s="9">
        <f t="shared" si="0"/>
        <v>-80.679999999999382</v>
      </c>
      <c r="F18" s="23">
        <f t="shared" si="1"/>
        <v>-1.8481358292787825E-2</v>
      </c>
      <c r="G18" s="24">
        <f t="shared" si="2"/>
        <v>29</v>
      </c>
    </row>
    <row r="19" spans="1:7" x14ac:dyDescent="0.45">
      <c r="A19" s="22" t="s">
        <v>73</v>
      </c>
      <c r="B19" s="22" t="s">
        <v>172</v>
      </c>
      <c r="C19" s="9">
        <f>SUMIFS(PQ_Budget_Data!$F:$F,PQ_Budget_Data!$B:$B,"CHI",PQ_Budget_Data!$D:$D,"6030",PQ_Budget_Data!$G:$G,"2025-06")</f>
        <v>4578.87</v>
      </c>
      <c r="D19" s="9">
        <f>SUMIFS(PQ_GL_Data!$I:$I,PQ_GL_Data!$C:$C,"CHI",PQ_GL_Data!$E:$E,"6030",PQ_GL_Data!$N:$N,"2025-06")-SUMIFS(PQ_GL_Data!$J:$J,PQ_GL_Data!$C:$C,"CHI",PQ_GL_Data!$E:$E,"6030",PQ_GL_Data!$N:$N,"2025-06")</f>
        <v>4574.3599999999997</v>
      </c>
      <c r="E19" s="9">
        <f t="shared" si="0"/>
        <v>-4.5100000000002183</v>
      </c>
      <c r="F19" s="23">
        <f t="shared" si="1"/>
        <v>-9.8495917114926131E-4</v>
      </c>
      <c r="G19" s="24">
        <f t="shared" si="2"/>
        <v>25</v>
      </c>
    </row>
    <row r="20" spans="1:7" x14ac:dyDescent="0.45">
      <c r="A20" s="22" t="s">
        <v>73</v>
      </c>
      <c r="B20" s="22" t="s">
        <v>173</v>
      </c>
      <c r="C20" s="9">
        <f>SUMIFS(PQ_Budget_Data!$F:$F,PQ_Budget_Data!$B:$B,"CHI",PQ_Budget_Data!$D:$D,"6040",PQ_Budget_Data!$G:$G,"2025-06")</f>
        <v>1888.02</v>
      </c>
      <c r="D20" s="9">
        <f>SUMIFS(PQ_GL_Data!$I:$I,PQ_GL_Data!$C:$C,"CHI",PQ_GL_Data!$E:$E,"6040",PQ_GL_Data!$N:$N,"2025-06")-SUMIFS(PQ_GL_Data!$J:$J,PQ_GL_Data!$C:$C,"CHI",PQ_GL_Data!$E:$E,"6040",PQ_GL_Data!$N:$N,"2025-06")</f>
        <v>2019.49</v>
      </c>
      <c r="E20" s="9">
        <f t="shared" si="0"/>
        <v>131.47000000000003</v>
      </c>
      <c r="F20" s="23">
        <f t="shared" si="1"/>
        <v>6.9633796252158361E-2</v>
      </c>
      <c r="G20" s="24">
        <f t="shared" si="2"/>
        <v>11</v>
      </c>
    </row>
    <row r="21" spans="1:7" x14ac:dyDescent="0.45">
      <c r="A21" s="22" t="s">
        <v>73</v>
      </c>
      <c r="B21" s="22" t="s">
        <v>174</v>
      </c>
      <c r="C21" s="9">
        <f>SUMIFS(PQ_Budget_Data!$F:$F,PQ_Budget_Data!$B:$B,"CHI",PQ_Budget_Data!$D:$D,"6050",PQ_Budget_Data!$G:$G,"2025-06")</f>
        <v>884.63</v>
      </c>
      <c r="D21" s="9">
        <f>SUMIFS(PQ_GL_Data!$I:$I,PQ_GL_Data!$C:$C,"CHI",PQ_GL_Data!$E:$E,"6050",PQ_GL_Data!$N:$N,"2025-06")-SUMIFS(PQ_GL_Data!$J:$J,PQ_GL_Data!$C:$C,"CHI",PQ_GL_Data!$E:$E,"6050",PQ_GL_Data!$N:$N,"2025-06")</f>
        <v>899</v>
      </c>
      <c r="E21" s="9">
        <f t="shared" si="0"/>
        <v>14.370000000000005</v>
      </c>
      <c r="F21" s="23">
        <f t="shared" si="1"/>
        <v>1.6244079445643947E-2</v>
      </c>
      <c r="G21" s="24">
        <f t="shared" si="2"/>
        <v>19</v>
      </c>
    </row>
    <row r="22" spans="1:7" x14ac:dyDescent="0.45">
      <c r="A22" s="22" t="s">
        <v>73</v>
      </c>
      <c r="B22" s="22" t="s">
        <v>175</v>
      </c>
      <c r="C22" s="9">
        <f>SUMIFS(PQ_Budget_Data!$F:$F,PQ_Budget_Data!$B:$B,"CHI",PQ_Budget_Data!$D:$D,"6060",PQ_Budget_Data!$G:$G,"2025-06")</f>
        <v>1476.74</v>
      </c>
      <c r="D22" s="9">
        <f>SUMIFS(PQ_GL_Data!$I:$I,PQ_GL_Data!$C:$C,"CHI",PQ_GL_Data!$E:$E,"6060",PQ_GL_Data!$N:$N,"2025-06")-SUMIFS(PQ_GL_Data!$J:$J,PQ_GL_Data!$C:$C,"CHI",PQ_GL_Data!$E:$E,"6060",PQ_GL_Data!$N:$N,"2025-06")</f>
        <v>1523.34</v>
      </c>
      <c r="E22" s="9">
        <f t="shared" si="0"/>
        <v>46.599999999999909</v>
      </c>
      <c r="F22" s="23">
        <f t="shared" si="1"/>
        <v>3.1555994961875423E-2</v>
      </c>
      <c r="G22" s="24">
        <f t="shared" si="2"/>
        <v>16</v>
      </c>
    </row>
    <row r="23" spans="1:7" x14ac:dyDescent="0.45">
      <c r="A23" s="22" t="s">
        <v>73</v>
      </c>
      <c r="B23" s="22" t="s">
        <v>177</v>
      </c>
      <c r="C23" s="9">
        <f>SUMIFS(PQ_Budget_Data!$F:$F,PQ_Budget_Data!$B:$B,"CHI",PQ_Budget_Data!$D:$D,"6070",PQ_Budget_Data!$G:$G,"2025-06")</f>
        <v>3772.08</v>
      </c>
      <c r="D23" s="9">
        <f>SUMIFS(PQ_GL_Data!$I:$I,PQ_GL_Data!$C:$C,"CHI",PQ_GL_Data!$E:$E,"6070",PQ_GL_Data!$N:$N,"2025-06")-SUMIFS(PQ_GL_Data!$J:$J,PQ_GL_Data!$C:$C,"CHI",PQ_GL_Data!$E:$E,"6070",PQ_GL_Data!$N:$N,"2025-06")</f>
        <v>3772.08</v>
      </c>
      <c r="E23" s="9">
        <f t="shared" si="0"/>
        <v>0</v>
      </c>
      <c r="F23" s="23">
        <f t="shared" si="1"/>
        <v>0</v>
      </c>
      <c r="G23" s="24">
        <f t="shared" si="2"/>
        <v>22</v>
      </c>
    </row>
    <row r="24" spans="1:7" x14ac:dyDescent="0.45">
      <c r="A24" s="22" t="s">
        <v>73</v>
      </c>
      <c r="B24" s="22" t="s">
        <v>176</v>
      </c>
      <c r="C24" s="9">
        <f>SUMIFS(PQ_Budget_Data!$F:$F,PQ_Budget_Data!$B:$B,"CHI",PQ_Budget_Data!$D:$D,"7000",PQ_Budget_Data!$G:$G,"2025-06")</f>
        <v>674.57</v>
      </c>
      <c r="D24" s="9">
        <f>SUMIFS(PQ_GL_Data!$I:$I,PQ_GL_Data!$C:$C,"CHI",PQ_GL_Data!$E:$E,"7000",PQ_GL_Data!$N:$N,"2025-06")-SUMIFS(PQ_GL_Data!$J:$J,PQ_GL_Data!$C:$C,"CHI",PQ_GL_Data!$E:$E,"7000",PQ_GL_Data!$N:$N,"2025-06")</f>
        <v>682</v>
      </c>
      <c r="E24" s="9">
        <f t="shared" si="0"/>
        <v>7.42999999999995</v>
      </c>
      <c r="F24" s="23">
        <f t="shared" si="1"/>
        <v>1.1014424003439154E-2</v>
      </c>
      <c r="G24" s="24">
        <f t="shared" si="2"/>
        <v>20</v>
      </c>
    </row>
    <row r="25" spans="1:7" x14ac:dyDescent="0.45">
      <c r="A25" s="22" t="s">
        <v>74</v>
      </c>
      <c r="B25" s="22" t="s">
        <v>167</v>
      </c>
      <c r="C25" s="9">
        <f>SUMIFS(PQ_Budget_Data!$F:$F,PQ_Budget_Data!$B:$B,"DAL",PQ_Budget_Data!$D:$D,"4010",PQ_Budget_Data!$G:$G,"2025-06")</f>
        <v>22390.080000000002</v>
      </c>
      <c r="D25" s="9">
        <f>SUMIFS(PQ_GL_Data!$J:$J,PQ_GL_Data!$C:$C,"DAL",PQ_GL_Data!$E:$E,"4010",PQ_GL_Data!$N:$N,"2025-06")-SUMIFS(PQ_GL_Data!$I:$I,PQ_GL_Data!$C:$C,"DAL",PQ_GL_Data!$E:$E,"4010",PQ_GL_Data!$N:$N,"2025-06")</f>
        <v>24038.78</v>
      </c>
      <c r="E25" s="9">
        <f t="shared" si="0"/>
        <v>1648.6999999999971</v>
      </c>
      <c r="F25" s="23">
        <f t="shared" si="1"/>
        <v>7.3635288484900321E-2</v>
      </c>
      <c r="G25" s="24">
        <f t="shared" si="2"/>
        <v>1</v>
      </c>
    </row>
    <row r="26" spans="1:7" x14ac:dyDescent="0.45">
      <c r="A26" s="22" t="s">
        <v>74</v>
      </c>
      <c r="B26" s="22" t="s">
        <v>168</v>
      </c>
      <c r="C26" s="9">
        <f>SUMIFS(PQ_Budget_Data!$F:$F,PQ_Budget_Data!$B:$B,"DAL",PQ_Budget_Data!$D:$D,"4020",PQ_Budget_Data!$G:$G,"2025-06")</f>
        <v>18574.34</v>
      </c>
      <c r="D26" s="9">
        <f>SUMIFS(PQ_GL_Data!$J:$J,PQ_GL_Data!$C:$C,"DAL",PQ_GL_Data!$E:$E,"4020",PQ_GL_Data!$N:$N,"2025-06")-SUMIFS(PQ_GL_Data!$I:$I,PQ_GL_Data!$C:$C,"DAL",PQ_GL_Data!$E:$E,"4020",PQ_GL_Data!$N:$N,"2025-06")</f>
        <v>18887.62</v>
      </c>
      <c r="E26" s="9">
        <f t="shared" si="0"/>
        <v>313.27999999999884</v>
      </c>
      <c r="F26" s="23">
        <f t="shared" si="1"/>
        <v>1.686627896334399E-2</v>
      </c>
      <c r="G26" s="24">
        <f t="shared" si="2"/>
        <v>9</v>
      </c>
    </row>
    <row r="27" spans="1:7" x14ac:dyDescent="0.45">
      <c r="A27" s="22" t="s">
        <v>74</v>
      </c>
      <c r="B27" s="22" t="s">
        <v>169</v>
      </c>
      <c r="C27" s="9">
        <f>SUMIFS(PQ_Budget_Data!$F:$F,PQ_Budget_Data!$B:$B,"DAL",PQ_Budget_Data!$D:$D,"4030",PQ_Budget_Data!$G:$G,"2025-06")</f>
        <v>13699.69</v>
      </c>
      <c r="D27" s="9">
        <f>SUMIFS(PQ_GL_Data!$J:$J,PQ_GL_Data!$C:$C,"DAL",PQ_GL_Data!$E:$E,"4030",PQ_GL_Data!$N:$N,"2025-06")-SUMIFS(PQ_GL_Data!$I:$I,PQ_GL_Data!$C:$C,"DAL",PQ_GL_Data!$E:$E,"4030",PQ_GL_Data!$N:$N,"2025-06")</f>
        <v>14308.8</v>
      </c>
      <c r="E27" s="9">
        <f t="shared" si="0"/>
        <v>609.10999999999876</v>
      </c>
      <c r="F27" s="23">
        <f t="shared" si="1"/>
        <v>4.4461590006781085E-2</v>
      </c>
      <c r="G27" s="24">
        <f t="shared" si="2"/>
        <v>8</v>
      </c>
    </row>
    <row r="28" spans="1:7" x14ac:dyDescent="0.45">
      <c r="A28" s="22" t="s">
        <v>74</v>
      </c>
      <c r="B28" s="22" t="s">
        <v>170</v>
      </c>
      <c r="C28" s="9">
        <f>SUMIFS(PQ_Budget_Data!$F:$F,PQ_Budget_Data!$B:$B,"DAL",PQ_Budget_Data!$D:$D,"6010",PQ_Budget_Data!$G:$G,"2025-06")</f>
        <v>27086.880000000001</v>
      </c>
      <c r="D28" s="9">
        <f>SUMIFS(PQ_GL_Data!$I:$I,PQ_GL_Data!$C:$C,"DAL",PQ_GL_Data!$E:$E,"6010",PQ_GL_Data!$N:$N,"2025-06")-SUMIFS(PQ_GL_Data!$J:$J,PQ_GL_Data!$C:$C,"DAL",PQ_GL_Data!$E:$E,"6010",PQ_GL_Data!$N:$N,"2025-06")</f>
        <v>27150.2</v>
      </c>
      <c r="E28" s="9">
        <f t="shared" si="0"/>
        <v>63.319999999999709</v>
      </c>
      <c r="F28" s="23">
        <f t="shared" si="1"/>
        <v>2.337663104794635E-3</v>
      </c>
      <c r="G28" s="24">
        <f t="shared" si="2"/>
        <v>14</v>
      </c>
    </row>
    <row r="29" spans="1:7" x14ac:dyDescent="0.45">
      <c r="A29" s="22" t="s">
        <v>74</v>
      </c>
      <c r="B29" s="22" t="s">
        <v>171</v>
      </c>
      <c r="C29" s="9">
        <f>SUMIFS(PQ_Budget_Data!$F:$F,PQ_Budget_Data!$B:$B,"DAL",PQ_Budget_Data!$D:$D,"6020",PQ_Budget_Data!$G:$G,"2025-06")</f>
        <v>3819.54</v>
      </c>
      <c r="D29" s="9">
        <f>SUMIFS(PQ_GL_Data!$I:$I,PQ_GL_Data!$C:$C,"DAL",PQ_GL_Data!$E:$E,"6020",PQ_GL_Data!$N:$N,"2025-06")-SUMIFS(PQ_GL_Data!$J:$J,PQ_GL_Data!$C:$C,"DAL",PQ_GL_Data!$E:$E,"6020",PQ_GL_Data!$N:$N,"2025-06")</f>
        <v>3801.03</v>
      </c>
      <c r="E29" s="9">
        <f t="shared" si="0"/>
        <v>-18.509999999999764</v>
      </c>
      <c r="F29" s="23">
        <f t="shared" si="1"/>
        <v>-4.8461333040103688E-3</v>
      </c>
      <c r="G29" s="24">
        <f t="shared" si="2"/>
        <v>26</v>
      </c>
    </row>
    <row r="30" spans="1:7" x14ac:dyDescent="0.45">
      <c r="A30" s="22" t="s">
        <v>74</v>
      </c>
      <c r="B30" s="22" t="s">
        <v>172</v>
      </c>
      <c r="C30" s="9">
        <f>SUMIFS(PQ_Budget_Data!$F:$F,PQ_Budget_Data!$B:$B,"DAL",PQ_Budget_Data!$D:$D,"6030",PQ_Budget_Data!$G:$G,"2025-06")</f>
        <v>3997.24</v>
      </c>
      <c r="D30" s="9">
        <f>SUMIFS(PQ_GL_Data!$I:$I,PQ_GL_Data!$C:$C,"DAL",PQ_GL_Data!$E:$E,"6030",PQ_GL_Data!$N:$N,"2025-06")-SUMIFS(PQ_GL_Data!$J:$J,PQ_GL_Data!$C:$C,"DAL",PQ_GL_Data!$E:$E,"6030",PQ_GL_Data!$N:$N,"2025-06")</f>
        <v>4057.9</v>
      </c>
      <c r="E30" s="9">
        <f t="shared" si="0"/>
        <v>60.660000000000309</v>
      </c>
      <c r="F30" s="23">
        <f t="shared" si="1"/>
        <v>1.5175471075041858E-2</v>
      </c>
      <c r="G30" s="24">
        <f t="shared" si="2"/>
        <v>15</v>
      </c>
    </row>
    <row r="31" spans="1:7" x14ac:dyDescent="0.45">
      <c r="A31" s="22" t="s">
        <v>74</v>
      </c>
      <c r="B31" s="22" t="s">
        <v>173</v>
      </c>
      <c r="C31" s="9">
        <f>SUMIFS(PQ_Budget_Data!$F:$F,PQ_Budget_Data!$B:$B,"DAL",PQ_Budget_Data!$D:$D,"6040",PQ_Budget_Data!$G:$G,"2025-06")</f>
        <v>1836.25</v>
      </c>
      <c r="D31" s="9">
        <f>SUMIFS(PQ_GL_Data!$I:$I,PQ_GL_Data!$C:$C,"DAL",PQ_GL_Data!$E:$E,"6040",PQ_GL_Data!$N:$N,"2025-06")-SUMIFS(PQ_GL_Data!$J:$J,PQ_GL_Data!$C:$C,"DAL",PQ_GL_Data!$E:$E,"6040",PQ_GL_Data!$N:$N,"2025-06")</f>
        <v>1653.48</v>
      </c>
      <c r="E31" s="9">
        <f t="shared" si="0"/>
        <v>-182.76999999999998</v>
      </c>
      <c r="F31" s="23">
        <f t="shared" si="1"/>
        <v>-9.9534377127297471E-2</v>
      </c>
      <c r="G31" s="24">
        <f t="shared" si="2"/>
        <v>31</v>
      </c>
    </row>
    <row r="32" spans="1:7" x14ac:dyDescent="0.45">
      <c r="A32" s="22" t="s">
        <v>74</v>
      </c>
      <c r="B32" s="22" t="s">
        <v>174</v>
      </c>
      <c r="C32" s="9">
        <f>SUMIFS(PQ_Budget_Data!$F:$F,PQ_Budget_Data!$B:$B,"DAL",PQ_Budget_Data!$D:$D,"6050",PQ_Budget_Data!$G:$G,"2025-06")</f>
        <v>797.21</v>
      </c>
      <c r="D32" s="9">
        <f>SUMIFS(PQ_GL_Data!$I:$I,PQ_GL_Data!$C:$C,"DAL",PQ_GL_Data!$E:$E,"6050",PQ_GL_Data!$N:$N,"2025-06")-SUMIFS(PQ_GL_Data!$J:$J,PQ_GL_Data!$C:$C,"DAL",PQ_GL_Data!$E:$E,"6050",PQ_GL_Data!$N:$N,"2025-06")</f>
        <v>797.5</v>
      </c>
      <c r="E32" s="9">
        <f t="shared" si="0"/>
        <v>0.28999999999996362</v>
      </c>
      <c r="F32" s="23">
        <f t="shared" si="1"/>
        <v>3.6376864314291543E-4</v>
      </c>
      <c r="G32" s="24">
        <f t="shared" si="2"/>
        <v>21</v>
      </c>
    </row>
    <row r="33" spans="1:7" x14ac:dyDescent="0.45">
      <c r="A33" s="22" t="s">
        <v>74</v>
      </c>
      <c r="B33" s="22" t="s">
        <v>175</v>
      </c>
      <c r="C33" s="9">
        <f>SUMIFS(PQ_Budget_Data!$F:$F,PQ_Budget_Data!$B:$B,"DAL",PQ_Budget_Data!$D:$D,"6060",PQ_Budget_Data!$G:$G,"2025-06")</f>
        <v>1401.72</v>
      </c>
      <c r="D33" s="9">
        <f>SUMIFS(PQ_GL_Data!$I:$I,PQ_GL_Data!$C:$C,"DAL",PQ_GL_Data!$E:$E,"6060",PQ_GL_Data!$N:$N,"2025-06")-SUMIFS(PQ_GL_Data!$J:$J,PQ_GL_Data!$C:$C,"DAL",PQ_GL_Data!$E:$E,"6060",PQ_GL_Data!$N:$N,"2025-06")</f>
        <v>1351.35</v>
      </c>
      <c r="E33" s="9">
        <f t="shared" si="0"/>
        <v>-50.370000000000118</v>
      </c>
      <c r="F33" s="23">
        <f t="shared" si="1"/>
        <v>-3.5934423422652254E-2</v>
      </c>
      <c r="G33" s="24">
        <f t="shared" si="2"/>
        <v>28</v>
      </c>
    </row>
    <row r="34" spans="1:7" x14ac:dyDescent="0.45">
      <c r="A34" s="22" t="s">
        <v>74</v>
      </c>
      <c r="B34" s="22" t="s">
        <v>177</v>
      </c>
      <c r="C34" s="9">
        <f>SUMIFS(PQ_Budget_Data!$F:$F,PQ_Budget_Data!$B:$B,"DAL",PQ_Budget_Data!$D:$D,"6070",PQ_Budget_Data!$G:$G,"2025-06")</f>
        <v>3346.2</v>
      </c>
      <c r="D34" s="9">
        <f>SUMIFS(PQ_GL_Data!$I:$I,PQ_GL_Data!$C:$C,"DAL",PQ_GL_Data!$E:$E,"6070",PQ_GL_Data!$N:$N,"2025-06")-SUMIFS(PQ_GL_Data!$J:$J,PQ_GL_Data!$C:$C,"DAL",PQ_GL_Data!$E:$E,"6070",PQ_GL_Data!$N:$N,"2025-06")</f>
        <v>3346.2</v>
      </c>
      <c r="E34" s="9">
        <f t="shared" si="0"/>
        <v>0</v>
      </c>
      <c r="F34" s="23">
        <f t="shared" si="1"/>
        <v>0</v>
      </c>
      <c r="G34" s="24">
        <f t="shared" si="2"/>
        <v>22</v>
      </c>
    </row>
    <row r="35" spans="1:7" x14ac:dyDescent="0.45">
      <c r="A35" s="22" t="s">
        <v>74</v>
      </c>
      <c r="B35" s="22" t="s">
        <v>176</v>
      </c>
      <c r="C35" s="9">
        <f>SUMIFS(PQ_Budget_Data!$F:$F,PQ_Budget_Data!$B:$B,"DAL",PQ_Budget_Data!$D:$D,"7000",PQ_Budget_Data!$G:$G,"2025-06")</f>
        <v>606.79</v>
      </c>
      <c r="D35" s="9">
        <f>SUMIFS(PQ_GL_Data!$I:$I,PQ_GL_Data!$C:$C,"DAL",PQ_GL_Data!$E:$E,"7000",PQ_GL_Data!$N:$N,"2025-06")-SUMIFS(PQ_GL_Data!$J:$J,PQ_GL_Data!$C:$C,"DAL",PQ_GL_Data!$E:$E,"7000",PQ_GL_Data!$N:$N,"2025-06")</f>
        <v>605</v>
      </c>
      <c r="E35" s="9">
        <f t="shared" si="0"/>
        <v>-1.7899999999999636</v>
      </c>
      <c r="F35" s="23">
        <f t="shared" si="1"/>
        <v>-2.9499497354932738E-3</v>
      </c>
      <c r="G35" s="24">
        <f t="shared" si="2"/>
        <v>24</v>
      </c>
    </row>
  </sheetData>
  <mergeCells count="1">
    <mergeCell ref="A1:F1"/>
  </mergeCells>
  <conditionalFormatting sqref="F4:F35">
    <cfRule type="colorScale" priority="1">
      <colorScale>
        <cfvo type="min"/>
        <cfvo type="num" val="0"/>
        <cfvo type="max"/>
        <color rgb="FFC7E3B0"/>
        <color rgb="FFF5E1A0"/>
        <color rgb="FFF0B3A8"/>
      </colorScale>
    </cfRule>
  </conditionalFormatting>
  <pageMargins left="0.75" right="0.75" top="1" bottom="1" header="0.5" footer="0.5"/>
  <headerFooter>
    <oddFooter>&amp;R_x000D_&amp;1#&amp;"Aptos"&amp;8&amp;K000000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79A56"/>
  </sheetPr>
  <dimension ref="A1:E25"/>
  <sheetViews>
    <sheetView showGridLines="0" workbookViewId="0"/>
  </sheetViews>
  <sheetFormatPr defaultRowHeight="14.25" x14ac:dyDescent="0.45"/>
  <sheetData>
    <row r="1" spans="1:5" x14ac:dyDescent="0.45">
      <c r="A1" t="s">
        <v>178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45">
      <c r="A2" t="s">
        <v>183</v>
      </c>
      <c r="B2">
        <f>SUMIFS(PQ_GL_Data!$J:$J,PQ_GL_Data!$C:$C,"MIA",PQ_GL_Data!$G:$G,"Revenue",PQ_GL_Data!$H:$H,"No",PQ_GL_Data!$N:$N,"2024-01")-SUMIFS(PQ_GL_Data!$I:$I,PQ_GL_Data!$C:$C,"MIA",PQ_GL_Data!$G:$G,"Revenue",PQ_GL_Data!$H:$H,"No",PQ_GL_Data!$N:$N,"2024-01")</f>
        <v>95742</v>
      </c>
      <c r="C2">
        <f>SUMIFS(PQ_GL_Data!$J:$J,PQ_GL_Data!$C:$C,"CHI",PQ_GL_Data!$G:$G,"Revenue",PQ_GL_Data!$H:$H,"No",PQ_GL_Data!$N:$N,"2024-01")-SUMIFS(PQ_GL_Data!$I:$I,PQ_GL_Data!$C:$C,"CHI",PQ_GL_Data!$G:$G,"Revenue",PQ_GL_Data!$H:$H,"No",PQ_GL_Data!$N:$N,"2024-01")</f>
        <v>51668.99</v>
      </c>
      <c r="D2">
        <f>SUMIFS(PQ_GL_Data!$J:$J,PQ_GL_Data!$C:$C,"DAL",PQ_GL_Data!$G:$G,"Revenue",PQ_GL_Data!$H:$H,"No",PQ_GL_Data!$N:$N,"2024-01")-SUMIFS(PQ_GL_Data!$I:$I,PQ_GL_Data!$C:$C,"DAL",PQ_GL_Data!$G:$G,"Revenue",PQ_GL_Data!$H:$H,"No",PQ_GL_Data!$N:$N,"2024-01")</f>
        <v>56195.700000000004</v>
      </c>
      <c r="E2">
        <f t="shared" ref="E2:E19" si="0">SUM(B2:D2)</f>
        <v>203606.69</v>
      </c>
    </row>
    <row r="3" spans="1:5" x14ac:dyDescent="0.45">
      <c r="A3" t="s">
        <v>184</v>
      </c>
      <c r="B3">
        <f>SUMIFS(PQ_GL_Data!$J:$J,PQ_GL_Data!$C:$C,"MIA",PQ_GL_Data!$G:$G,"Revenue",PQ_GL_Data!$H:$H,"No",PQ_GL_Data!$N:$N,"2024-02")-SUMIFS(PQ_GL_Data!$I:$I,PQ_GL_Data!$C:$C,"MIA",PQ_GL_Data!$G:$G,"Revenue",PQ_GL_Data!$H:$H,"No",PQ_GL_Data!$N:$N,"2024-02")</f>
        <v>100782.2</v>
      </c>
      <c r="C3">
        <f>SUMIFS(PQ_GL_Data!$J:$J,PQ_GL_Data!$C:$C,"CHI",PQ_GL_Data!$G:$G,"Revenue",PQ_GL_Data!$H:$H,"No",PQ_GL_Data!$N:$N,"2024-02")-SUMIFS(PQ_GL_Data!$I:$I,PQ_GL_Data!$C:$C,"CHI",PQ_GL_Data!$G:$G,"Revenue",PQ_GL_Data!$H:$H,"No",PQ_GL_Data!$N:$N,"2024-02")</f>
        <v>60024.829999999994</v>
      </c>
      <c r="D3">
        <f>SUMIFS(PQ_GL_Data!$J:$J,PQ_GL_Data!$C:$C,"DAL",PQ_GL_Data!$G:$G,"Revenue",PQ_GL_Data!$H:$H,"No",PQ_GL_Data!$N:$N,"2024-02")-SUMIFS(PQ_GL_Data!$I:$I,PQ_GL_Data!$C:$C,"DAL",PQ_GL_Data!$G:$G,"Revenue",PQ_GL_Data!$H:$H,"No",PQ_GL_Data!$N:$N,"2024-02")</f>
        <v>57234.04</v>
      </c>
      <c r="E3">
        <f t="shared" si="0"/>
        <v>218041.07</v>
      </c>
    </row>
    <row r="4" spans="1:5" x14ac:dyDescent="0.45">
      <c r="A4" t="s">
        <v>185</v>
      </c>
      <c r="B4">
        <f>SUMIFS(PQ_GL_Data!$J:$J,PQ_GL_Data!$C:$C,"MIA",PQ_GL_Data!$G:$G,"Revenue",PQ_GL_Data!$H:$H,"No",PQ_GL_Data!$N:$N,"2024-03")-SUMIFS(PQ_GL_Data!$I:$I,PQ_GL_Data!$C:$C,"MIA",PQ_GL_Data!$G:$G,"Revenue",PQ_GL_Data!$H:$H,"No",PQ_GL_Data!$N:$N,"2024-03")</f>
        <v>102950.59</v>
      </c>
      <c r="C4">
        <f>SUMIFS(PQ_GL_Data!$J:$J,PQ_GL_Data!$C:$C,"CHI",PQ_GL_Data!$G:$G,"Revenue",PQ_GL_Data!$H:$H,"No",PQ_GL_Data!$N:$N,"2024-03")-SUMIFS(PQ_GL_Data!$I:$I,PQ_GL_Data!$C:$C,"CHI",PQ_GL_Data!$G:$G,"Revenue",PQ_GL_Data!$H:$H,"No",PQ_GL_Data!$N:$N,"2024-03")</f>
        <v>57700.350000000006</v>
      </c>
      <c r="D4">
        <f>SUMIFS(PQ_GL_Data!$J:$J,PQ_GL_Data!$C:$C,"DAL",PQ_GL_Data!$G:$G,"Revenue",PQ_GL_Data!$H:$H,"No",PQ_GL_Data!$N:$N,"2024-03")-SUMIFS(PQ_GL_Data!$I:$I,PQ_GL_Data!$C:$C,"DAL",PQ_GL_Data!$G:$G,"Revenue",PQ_GL_Data!$H:$H,"No",PQ_GL_Data!$N:$N,"2024-03")</f>
        <v>57987.909999999989</v>
      </c>
      <c r="E4">
        <f t="shared" si="0"/>
        <v>218638.84999999998</v>
      </c>
    </row>
    <row r="5" spans="1:5" x14ac:dyDescent="0.45">
      <c r="A5" t="s">
        <v>186</v>
      </c>
      <c r="B5">
        <f>SUMIFS(PQ_GL_Data!$J:$J,PQ_GL_Data!$C:$C,"MIA",PQ_GL_Data!$G:$G,"Revenue",PQ_GL_Data!$H:$H,"No",PQ_GL_Data!$N:$N,"2024-04")-SUMIFS(PQ_GL_Data!$I:$I,PQ_GL_Data!$C:$C,"MIA",PQ_GL_Data!$G:$G,"Revenue",PQ_GL_Data!$H:$H,"No",PQ_GL_Data!$N:$N,"2024-04")</f>
        <v>95294.77</v>
      </c>
      <c r="C5">
        <f>SUMIFS(PQ_GL_Data!$J:$J,PQ_GL_Data!$C:$C,"CHI",PQ_GL_Data!$G:$G,"Revenue",PQ_GL_Data!$H:$H,"No",PQ_GL_Data!$N:$N,"2024-04")-SUMIFS(PQ_GL_Data!$I:$I,PQ_GL_Data!$C:$C,"CHI",PQ_GL_Data!$G:$G,"Revenue",PQ_GL_Data!$H:$H,"No",PQ_GL_Data!$N:$N,"2024-04")</f>
        <v>63097.16</v>
      </c>
      <c r="D5">
        <f>SUMIFS(PQ_GL_Data!$J:$J,PQ_GL_Data!$C:$C,"DAL",PQ_GL_Data!$G:$G,"Revenue",PQ_GL_Data!$H:$H,"No",PQ_GL_Data!$N:$N,"2024-04")-SUMIFS(PQ_GL_Data!$I:$I,PQ_GL_Data!$C:$C,"DAL",PQ_GL_Data!$G:$G,"Revenue",PQ_GL_Data!$H:$H,"No",PQ_GL_Data!$N:$N,"2024-04")</f>
        <v>57305.31</v>
      </c>
      <c r="E5">
        <f t="shared" si="0"/>
        <v>215697.24</v>
      </c>
    </row>
    <row r="6" spans="1:5" x14ac:dyDescent="0.45">
      <c r="A6" t="s">
        <v>187</v>
      </c>
      <c r="B6">
        <f>SUMIFS(PQ_GL_Data!$J:$J,PQ_GL_Data!$C:$C,"MIA",PQ_GL_Data!$G:$G,"Revenue",PQ_GL_Data!$H:$H,"No",PQ_GL_Data!$N:$N,"2024-05")-SUMIFS(PQ_GL_Data!$I:$I,PQ_GL_Data!$C:$C,"MIA",PQ_GL_Data!$G:$G,"Revenue",PQ_GL_Data!$H:$H,"No",PQ_GL_Data!$N:$N,"2024-05")</f>
        <v>95749.8</v>
      </c>
      <c r="C6">
        <f>SUMIFS(PQ_GL_Data!$J:$J,PQ_GL_Data!$C:$C,"CHI",PQ_GL_Data!$G:$G,"Revenue",PQ_GL_Data!$H:$H,"No",PQ_GL_Data!$N:$N,"2024-05")-SUMIFS(PQ_GL_Data!$I:$I,PQ_GL_Data!$C:$C,"CHI",PQ_GL_Data!$G:$G,"Revenue",PQ_GL_Data!$H:$H,"No",PQ_GL_Data!$N:$N,"2024-05")</f>
        <v>58246.34</v>
      </c>
      <c r="D6">
        <f>SUMIFS(PQ_GL_Data!$J:$J,PQ_GL_Data!$C:$C,"DAL",PQ_GL_Data!$G:$G,"Revenue",PQ_GL_Data!$H:$H,"No",PQ_GL_Data!$N:$N,"2024-05")-SUMIFS(PQ_GL_Data!$I:$I,PQ_GL_Data!$C:$C,"DAL",PQ_GL_Data!$G:$G,"Revenue",PQ_GL_Data!$H:$H,"No",PQ_GL_Data!$N:$N,"2024-05")</f>
        <v>50225.279999999999</v>
      </c>
      <c r="E6">
        <f t="shared" si="0"/>
        <v>204221.42</v>
      </c>
    </row>
    <row r="7" spans="1:5" x14ac:dyDescent="0.45">
      <c r="A7" t="s">
        <v>188</v>
      </c>
      <c r="B7">
        <f>SUMIFS(PQ_GL_Data!$J:$J,PQ_GL_Data!$C:$C,"MIA",PQ_GL_Data!$G:$G,"Revenue",PQ_GL_Data!$H:$H,"No",PQ_GL_Data!$N:$N,"2024-06")-SUMIFS(PQ_GL_Data!$I:$I,PQ_GL_Data!$C:$C,"MIA",PQ_GL_Data!$G:$G,"Revenue",PQ_GL_Data!$H:$H,"No",PQ_GL_Data!$N:$N,"2024-06")</f>
        <v>103409.88</v>
      </c>
      <c r="C7">
        <f>SUMIFS(PQ_GL_Data!$J:$J,PQ_GL_Data!$C:$C,"CHI",PQ_GL_Data!$G:$G,"Revenue",PQ_GL_Data!$H:$H,"No",PQ_GL_Data!$N:$N,"2024-06")-SUMIFS(PQ_GL_Data!$I:$I,PQ_GL_Data!$C:$C,"CHI",PQ_GL_Data!$G:$G,"Revenue",PQ_GL_Data!$H:$H,"No",PQ_GL_Data!$N:$N,"2024-06")</f>
        <v>57739.020000000004</v>
      </c>
      <c r="D7">
        <f>SUMIFS(PQ_GL_Data!$J:$J,PQ_GL_Data!$C:$C,"DAL",PQ_GL_Data!$G:$G,"Revenue",PQ_GL_Data!$H:$H,"No",PQ_GL_Data!$N:$N,"2024-06")-SUMIFS(PQ_GL_Data!$I:$I,PQ_GL_Data!$C:$C,"DAL",PQ_GL_Data!$G:$G,"Revenue",PQ_GL_Data!$H:$H,"No",PQ_GL_Data!$N:$N,"2024-06")</f>
        <v>54002.929999999993</v>
      </c>
      <c r="E7">
        <f t="shared" si="0"/>
        <v>215151.83000000002</v>
      </c>
    </row>
    <row r="8" spans="1:5" x14ac:dyDescent="0.45">
      <c r="A8" t="s">
        <v>189</v>
      </c>
      <c r="B8">
        <f>SUMIFS(PQ_GL_Data!$J:$J,PQ_GL_Data!$C:$C,"MIA",PQ_GL_Data!$G:$G,"Revenue",PQ_GL_Data!$H:$H,"No",PQ_GL_Data!$N:$N,"2024-07")-SUMIFS(PQ_GL_Data!$I:$I,PQ_GL_Data!$C:$C,"MIA",PQ_GL_Data!$G:$G,"Revenue",PQ_GL_Data!$H:$H,"No",PQ_GL_Data!$N:$N,"2024-07")</f>
        <v>100820.26000000001</v>
      </c>
      <c r="C8">
        <f>SUMIFS(PQ_GL_Data!$J:$J,PQ_GL_Data!$C:$C,"CHI",PQ_GL_Data!$G:$G,"Revenue",PQ_GL_Data!$H:$H,"No",PQ_GL_Data!$N:$N,"2024-07")-SUMIFS(PQ_GL_Data!$I:$I,PQ_GL_Data!$C:$C,"CHI",PQ_GL_Data!$G:$G,"Revenue",PQ_GL_Data!$H:$H,"No",PQ_GL_Data!$N:$N,"2024-07")</f>
        <v>57150.03</v>
      </c>
      <c r="D8">
        <f>SUMIFS(PQ_GL_Data!$J:$J,PQ_GL_Data!$C:$C,"DAL",PQ_GL_Data!$G:$G,"Revenue",PQ_GL_Data!$H:$H,"No",PQ_GL_Data!$N:$N,"2024-07")-SUMIFS(PQ_GL_Data!$I:$I,PQ_GL_Data!$C:$C,"DAL",PQ_GL_Data!$G:$G,"Revenue",PQ_GL_Data!$H:$H,"No",PQ_GL_Data!$N:$N,"2024-07")</f>
        <v>53821.700000000004</v>
      </c>
      <c r="E8">
        <f t="shared" si="0"/>
        <v>211791.99000000002</v>
      </c>
    </row>
    <row r="9" spans="1:5" x14ac:dyDescent="0.45">
      <c r="A9" t="s">
        <v>190</v>
      </c>
      <c r="B9">
        <f>SUMIFS(PQ_GL_Data!$J:$J,PQ_GL_Data!$C:$C,"MIA",PQ_GL_Data!$G:$G,"Revenue",PQ_GL_Data!$H:$H,"No",PQ_GL_Data!$N:$N,"2024-08")-SUMIFS(PQ_GL_Data!$I:$I,PQ_GL_Data!$C:$C,"MIA",PQ_GL_Data!$G:$G,"Revenue",PQ_GL_Data!$H:$H,"No",PQ_GL_Data!$N:$N,"2024-08")</f>
        <v>91346.81</v>
      </c>
      <c r="C9">
        <f>SUMIFS(PQ_GL_Data!$J:$J,PQ_GL_Data!$C:$C,"CHI",PQ_GL_Data!$G:$G,"Revenue",PQ_GL_Data!$H:$H,"No",PQ_GL_Data!$N:$N,"2024-08")-SUMIFS(PQ_GL_Data!$I:$I,PQ_GL_Data!$C:$C,"CHI",PQ_GL_Data!$G:$G,"Revenue",PQ_GL_Data!$H:$H,"No",PQ_GL_Data!$N:$N,"2024-08")</f>
        <v>66989.570000000007</v>
      </c>
      <c r="D9">
        <f>SUMIFS(PQ_GL_Data!$J:$J,PQ_GL_Data!$C:$C,"DAL",PQ_GL_Data!$G:$G,"Revenue",PQ_GL_Data!$H:$H,"No",PQ_GL_Data!$N:$N,"2024-08")-SUMIFS(PQ_GL_Data!$I:$I,PQ_GL_Data!$C:$C,"DAL",PQ_GL_Data!$G:$G,"Revenue",PQ_GL_Data!$H:$H,"No",PQ_GL_Data!$N:$N,"2024-08")</f>
        <v>50656.969999999994</v>
      </c>
      <c r="E9">
        <f t="shared" si="0"/>
        <v>208993.35</v>
      </c>
    </row>
    <row r="10" spans="1:5" x14ac:dyDescent="0.45">
      <c r="A10" t="s">
        <v>191</v>
      </c>
      <c r="B10">
        <f>SUMIFS(PQ_GL_Data!$J:$J,PQ_GL_Data!$C:$C,"MIA",PQ_GL_Data!$G:$G,"Revenue",PQ_GL_Data!$H:$H,"No",PQ_GL_Data!$N:$N,"2024-09")-SUMIFS(PQ_GL_Data!$I:$I,PQ_GL_Data!$C:$C,"MIA",PQ_GL_Data!$G:$G,"Revenue",PQ_GL_Data!$H:$H,"No",PQ_GL_Data!$N:$N,"2024-09")</f>
        <v>100145</v>
      </c>
      <c r="C10">
        <f>SUMIFS(PQ_GL_Data!$J:$J,PQ_GL_Data!$C:$C,"CHI",PQ_GL_Data!$G:$G,"Revenue",PQ_GL_Data!$H:$H,"No",PQ_GL_Data!$N:$N,"2024-09")-SUMIFS(PQ_GL_Data!$I:$I,PQ_GL_Data!$C:$C,"CHI",PQ_GL_Data!$G:$G,"Revenue",PQ_GL_Data!$H:$H,"No",PQ_GL_Data!$N:$N,"2024-09")</f>
        <v>68696.42</v>
      </c>
      <c r="D10">
        <f>SUMIFS(PQ_GL_Data!$J:$J,PQ_GL_Data!$C:$C,"DAL",PQ_GL_Data!$G:$G,"Revenue",PQ_GL_Data!$H:$H,"No",PQ_GL_Data!$N:$N,"2024-09")-SUMIFS(PQ_GL_Data!$I:$I,PQ_GL_Data!$C:$C,"DAL",PQ_GL_Data!$G:$G,"Revenue",PQ_GL_Data!$H:$H,"No",PQ_GL_Data!$N:$N,"2024-09")</f>
        <v>52956.27</v>
      </c>
      <c r="E10">
        <f t="shared" si="0"/>
        <v>221797.68999999997</v>
      </c>
    </row>
    <row r="11" spans="1:5" x14ac:dyDescent="0.45">
      <c r="A11" t="s">
        <v>192</v>
      </c>
      <c r="B11">
        <f>SUMIFS(PQ_GL_Data!$J:$J,PQ_GL_Data!$C:$C,"MIA",PQ_GL_Data!$G:$G,"Revenue",PQ_GL_Data!$H:$H,"No",PQ_GL_Data!$N:$N,"2024-10")-SUMIFS(PQ_GL_Data!$I:$I,PQ_GL_Data!$C:$C,"MIA",PQ_GL_Data!$G:$G,"Revenue",PQ_GL_Data!$H:$H,"No",PQ_GL_Data!$N:$N,"2024-10")</f>
        <v>92298.26</v>
      </c>
      <c r="C11">
        <f>SUMIFS(PQ_GL_Data!$J:$J,PQ_GL_Data!$C:$C,"CHI",PQ_GL_Data!$G:$G,"Revenue",PQ_GL_Data!$H:$H,"No",PQ_GL_Data!$N:$N,"2024-10")-SUMIFS(PQ_GL_Data!$I:$I,PQ_GL_Data!$C:$C,"CHI",PQ_GL_Data!$G:$G,"Revenue",PQ_GL_Data!$H:$H,"No",PQ_GL_Data!$N:$N,"2024-10")</f>
        <v>59973.02</v>
      </c>
      <c r="D11">
        <f>SUMIFS(PQ_GL_Data!$J:$J,PQ_GL_Data!$C:$C,"DAL",PQ_GL_Data!$G:$G,"Revenue",PQ_GL_Data!$H:$H,"No",PQ_GL_Data!$N:$N,"2024-10")-SUMIFS(PQ_GL_Data!$I:$I,PQ_GL_Data!$C:$C,"DAL",PQ_GL_Data!$G:$G,"Revenue",PQ_GL_Data!$H:$H,"No",PQ_GL_Data!$N:$N,"2024-10")</f>
        <v>58370.52</v>
      </c>
      <c r="E11">
        <f t="shared" si="0"/>
        <v>210641.8</v>
      </c>
    </row>
    <row r="12" spans="1:5" x14ac:dyDescent="0.45">
      <c r="A12" t="s">
        <v>193</v>
      </c>
      <c r="B12">
        <f>SUMIFS(PQ_GL_Data!$J:$J,PQ_GL_Data!$C:$C,"MIA",PQ_GL_Data!$G:$G,"Revenue",PQ_GL_Data!$H:$H,"No",PQ_GL_Data!$N:$N,"2024-11")-SUMIFS(PQ_GL_Data!$I:$I,PQ_GL_Data!$C:$C,"MIA",PQ_GL_Data!$G:$G,"Revenue",PQ_GL_Data!$H:$H,"No",PQ_GL_Data!$N:$N,"2024-11")</f>
        <v>109251.23999999999</v>
      </c>
      <c r="C12">
        <f>SUMIFS(PQ_GL_Data!$J:$J,PQ_GL_Data!$C:$C,"CHI",PQ_GL_Data!$G:$G,"Revenue",PQ_GL_Data!$H:$H,"No",PQ_GL_Data!$N:$N,"2024-11")-SUMIFS(PQ_GL_Data!$I:$I,PQ_GL_Data!$C:$C,"CHI",PQ_GL_Data!$G:$G,"Revenue",PQ_GL_Data!$H:$H,"No",PQ_GL_Data!$N:$N,"2024-11")</f>
        <v>67924.170000000013</v>
      </c>
      <c r="D12">
        <f>SUMIFS(PQ_GL_Data!$J:$J,PQ_GL_Data!$C:$C,"DAL",PQ_GL_Data!$G:$G,"Revenue",PQ_GL_Data!$H:$H,"No",PQ_GL_Data!$N:$N,"2024-11")-SUMIFS(PQ_GL_Data!$I:$I,PQ_GL_Data!$C:$C,"DAL",PQ_GL_Data!$G:$G,"Revenue",PQ_GL_Data!$H:$H,"No",PQ_GL_Data!$N:$N,"2024-11")</f>
        <v>56021.86</v>
      </c>
      <c r="E12">
        <f t="shared" si="0"/>
        <v>233197.27000000002</v>
      </c>
    </row>
    <row r="13" spans="1:5" x14ac:dyDescent="0.45">
      <c r="A13" t="s">
        <v>194</v>
      </c>
      <c r="B13">
        <f>SUMIFS(PQ_GL_Data!$J:$J,PQ_GL_Data!$C:$C,"MIA",PQ_GL_Data!$G:$G,"Revenue",PQ_GL_Data!$H:$H,"No",PQ_GL_Data!$N:$N,"2024-12")-SUMIFS(PQ_GL_Data!$I:$I,PQ_GL_Data!$C:$C,"MIA",PQ_GL_Data!$G:$G,"Revenue",PQ_GL_Data!$H:$H,"No",PQ_GL_Data!$N:$N,"2024-12")</f>
        <v>103579.05999999998</v>
      </c>
      <c r="C13">
        <f>SUMIFS(PQ_GL_Data!$J:$J,PQ_GL_Data!$C:$C,"CHI",PQ_GL_Data!$G:$G,"Revenue",PQ_GL_Data!$H:$H,"No",PQ_GL_Data!$N:$N,"2024-12")-SUMIFS(PQ_GL_Data!$I:$I,PQ_GL_Data!$C:$C,"CHI",PQ_GL_Data!$G:$G,"Revenue",PQ_GL_Data!$H:$H,"No",PQ_GL_Data!$N:$N,"2024-12")</f>
        <v>67103.429999999993</v>
      </c>
      <c r="D13">
        <f>SUMIFS(PQ_GL_Data!$J:$J,PQ_GL_Data!$C:$C,"DAL",PQ_GL_Data!$G:$G,"Revenue",PQ_GL_Data!$H:$H,"No",PQ_GL_Data!$N:$N,"2024-12")-SUMIFS(PQ_GL_Data!$I:$I,PQ_GL_Data!$C:$C,"DAL",PQ_GL_Data!$G:$G,"Revenue",PQ_GL_Data!$H:$H,"No",PQ_GL_Data!$N:$N,"2024-12")</f>
        <v>56773.829999999994</v>
      </c>
      <c r="E13">
        <f t="shared" si="0"/>
        <v>227456.31999999998</v>
      </c>
    </row>
    <row r="14" spans="1:5" x14ac:dyDescent="0.45">
      <c r="A14" t="s">
        <v>195</v>
      </c>
      <c r="B14">
        <f>SUMIFS(PQ_GL_Data!$J:$J,PQ_GL_Data!$C:$C,"MIA",PQ_GL_Data!$G:$G,"Revenue",PQ_GL_Data!$H:$H,"No",PQ_GL_Data!$N:$N,"2025-01")-SUMIFS(PQ_GL_Data!$I:$I,PQ_GL_Data!$C:$C,"MIA",PQ_GL_Data!$G:$G,"Revenue",PQ_GL_Data!$H:$H,"No",PQ_GL_Data!$N:$N,"2025-01")</f>
        <v>98795.78</v>
      </c>
      <c r="C14">
        <f>SUMIFS(PQ_GL_Data!$J:$J,PQ_GL_Data!$C:$C,"CHI",PQ_GL_Data!$G:$G,"Revenue",PQ_GL_Data!$H:$H,"No",PQ_GL_Data!$N:$N,"2025-01")-SUMIFS(PQ_GL_Data!$I:$I,PQ_GL_Data!$C:$C,"CHI",PQ_GL_Data!$G:$G,"Revenue",PQ_GL_Data!$H:$H,"No",PQ_GL_Data!$N:$N,"2025-01")</f>
        <v>71525.540000000008</v>
      </c>
      <c r="D14">
        <f>SUMIFS(PQ_GL_Data!$J:$J,PQ_GL_Data!$C:$C,"DAL",PQ_GL_Data!$G:$G,"Revenue",PQ_GL_Data!$H:$H,"No",PQ_GL_Data!$N:$N,"2025-01")-SUMIFS(PQ_GL_Data!$I:$I,PQ_GL_Data!$C:$C,"DAL",PQ_GL_Data!$G:$G,"Revenue",PQ_GL_Data!$H:$H,"No",PQ_GL_Data!$N:$N,"2025-01")</f>
        <v>61850.400000000001</v>
      </c>
      <c r="E14">
        <f t="shared" si="0"/>
        <v>232171.72</v>
      </c>
    </row>
    <row r="15" spans="1:5" x14ac:dyDescent="0.45">
      <c r="A15" t="s">
        <v>196</v>
      </c>
      <c r="B15">
        <f>SUMIFS(PQ_GL_Data!$J:$J,PQ_GL_Data!$C:$C,"MIA",PQ_GL_Data!$G:$G,"Revenue",PQ_GL_Data!$H:$H,"No",PQ_GL_Data!$N:$N,"2025-02")-SUMIFS(PQ_GL_Data!$I:$I,PQ_GL_Data!$C:$C,"MIA",PQ_GL_Data!$G:$G,"Revenue",PQ_GL_Data!$H:$H,"No",PQ_GL_Data!$N:$N,"2025-02")</f>
        <v>112245.2</v>
      </c>
      <c r="C15">
        <f>SUMIFS(PQ_GL_Data!$J:$J,PQ_GL_Data!$C:$C,"CHI",PQ_GL_Data!$G:$G,"Revenue",PQ_GL_Data!$H:$H,"No",PQ_GL_Data!$N:$N,"2025-02")-SUMIFS(PQ_GL_Data!$I:$I,PQ_GL_Data!$C:$C,"CHI",PQ_GL_Data!$G:$G,"Revenue",PQ_GL_Data!$H:$H,"No",PQ_GL_Data!$N:$N,"2025-02")</f>
        <v>64862.380000000005</v>
      </c>
      <c r="D15">
        <f>SUMIFS(PQ_GL_Data!$J:$J,PQ_GL_Data!$C:$C,"DAL",PQ_GL_Data!$G:$G,"Revenue",PQ_GL_Data!$H:$H,"No",PQ_GL_Data!$N:$N,"2025-02")-SUMIFS(PQ_GL_Data!$I:$I,PQ_GL_Data!$C:$C,"DAL",PQ_GL_Data!$G:$G,"Revenue",PQ_GL_Data!$H:$H,"No",PQ_GL_Data!$N:$N,"2025-02")</f>
        <v>58252.84</v>
      </c>
      <c r="E15">
        <f t="shared" si="0"/>
        <v>235360.42</v>
      </c>
    </row>
    <row r="16" spans="1:5" x14ac:dyDescent="0.45">
      <c r="A16" t="s">
        <v>197</v>
      </c>
      <c r="B16">
        <f>SUMIFS(PQ_GL_Data!$J:$J,PQ_GL_Data!$C:$C,"MIA",PQ_GL_Data!$G:$G,"Revenue",PQ_GL_Data!$H:$H,"No",PQ_GL_Data!$N:$N,"2025-03")-SUMIFS(PQ_GL_Data!$I:$I,PQ_GL_Data!$C:$C,"MIA",PQ_GL_Data!$G:$G,"Revenue",PQ_GL_Data!$H:$H,"No",PQ_GL_Data!$N:$N,"2025-03")</f>
        <v>97351.1</v>
      </c>
      <c r="C16">
        <f>SUMIFS(PQ_GL_Data!$J:$J,PQ_GL_Data!$C:$C,"CHI",PQ_GL_Data!$G:$G,"Revenue",PQ_GL_Data!$H:$H,"No",PQ_GL_Data!$N:$N,"2025-03")-SUMIFS(PQ_GL_Data!$I:$I,PQ_GL_Data!$C:$C,"CHI",PQ_GL_Data!$G:$G,"Revenue",PQ_GL_Data!$H:$H,"No",PQ_GL_Data!$N:$N,"2025-03")</f>
        <v>63657.99</v>
      </c>
      <c r="D16">
        <f>SUMIFS(PQ_GL_Data!$J:$J,PQ_GL_Data!$C:$C,"DAL",PQ_GL_Data!$G:$G,"Revenue",PQ_GL_Data!$H:$H,"No",PQ_GL_Data!$N:$N,"2025-03")-SUMIFS(PQ_GL_Data!$I:$I,PQ_GL_Data!$C:$C,"DAL",PQ_GL_Data!$G:$G,"Revenue",PQ_GL_Data!$H:$H,"No",PQ_GL_Data!$N:$N,"2025-03")</f>
        <v>53455.700000000004</v>
      </c>
      <c r="E16">
        <f t="shared" si="0"/>
        <v>214464.79</v>
      </c>
    </row>
    <row r="17" spans="1:5" x14ac:dyDescent="0.45">
      <c r="A17" t="s">
        <v>198</v>
      </c>
      <c r="B17">
        <f>SUMIFS(PQ_GL_Data!$J:$J,PQ_GL_Data!$C:$C,"MIA",PQ_GL_Data!$G:$G,"Revenue",PQ_GL_Data!$H:$H,"No",PQ_GL_Data!$N:$N,"2025-04")-SUMIFS(PQ_GL_Data!$I:$I,PQ_GL_Data!$C:$C,"MIA",PQ_GL_Data!$G:$G,"Revenue",PQ_GL_Data!$H:$H,"No",PQ_GL_Data!$N:$N,"2025-04")</f>
        <v>117271.53</v>
      </c>
      <c r="C17">
        <f>SUMIFS(PQ_GL_Data!$J:$J,PQ_GL_Data!$C:$C,"CHI",PQ_GL_Data!$G:$G,"Revenue",PQ_GL_Data!$H:$H,"No",PQ_GL_Data!$N:$N,"2025-04")-SUMIFS(PQ_GL_Data!$I:$I,PQ_GL_Data!$C:$C,"CHI",PQ_GL_Data!$G:$G,"Revenue",PQ_GL_Data!$H:$H,"No",PQ_GL_Data!$N:$N,"2025-04")</f>
        <v>62085.39</v>
      </c>
      <c r="D17">
        <f>SUMIFS(PQ_GL_Data!$J:$J,PQ_GL_Data!$C:$C,"DAL",PQ_GL_Data!$G:$G,"Revenue",PQ_GL_Data!$H:$H,"No",PQ_GL_Data!$N:$N,"2025-04")-SUMIFS(PQ_GL_Data!$I:$I,PQ_GL_Data!$C:$C,"DAL",PQ_GL_Data!$G:$G,"Revenue",PQ_GL_Data!$H:$H,"No",PQ_GL_Data!$N:$N,"2025-04")</f>
        <v>64897.020000000004</v>
      </c>
      <c r="E17">
        <f t="shared" si="0"/>
        <v>244253.94</v>
      </c>
    </row>
    <row r="18" spans="1:5" x14ac:dyDescent="0.45">
      <c r="A18" t="s">
        <v>199</v>
      </c>
      <c r="B18">
        <f>SUMIFS(PQ_GL_Data!$J:$J,PQ_GL_Data!$C:$C,"MIA",PQ_GL_Data!$G:$G,"Revenue",PQ_GL_Data!$H:$H,"No",PQ_GL_Data!$N:$N,"2025-05")-SUMIFS(PQ_GL_Data!$I:$I,PQ_GL_Data!$C:$C,"MIA",PQ_GL_Data!$G:$G,"Revenue",PQ_GL_Data!$H:$H,"No",PQ_GL_Data!$N:$N,"2025-05")</f>
        <v>111681.60000000001</v>
      </c>
      <c r="C18">
        <f>SUMIFS(PQ_GL_Data!$J:$J,PQ_GL_Data!$C:$C,"CHI",PQ_GL_Data!$G:$G,"Revenue",PQ_GL_Data!$H:$H,"No",PQ_GL_Data!$N:$N,"2025-05")-SUMIFS(PQ_GL_Data!$I:$I,PQ_GL_Data!$C:$C,"CHI",PQ_GL_Data!$G:$G,"Revenue",PQ_GL_Data!$H:$H,"No",PQ_GL_Data!$N:$N,"2025-05")</f>
        <v>66861.5</v>
      </c>
      <c r="D18">
        <f>SUMIFS(PQ_GL_Data!$J:$J,PQ_GL_Data!$C:$C,"DAL",PQ_GL_Data!$G:$G,"Revenue",PQ_GL_Data!$H:$H,"No",PQ_GL_Data!$N:$N,"2025-05")-SUMIFS(PQ_GL_Data!$I:$I,PQ_GL_Data!$C:$C,"DAL",PQ_GL_Data!$G:$G,"Revenue",PQ_GL_Data!$H:$H,"No",PQ_GL_Data!$N:$N,"2025-05")</f>
        <v>55419.71</v>
      </c>
      <c r="E18">
        <f t="shared" si="0"/>
        <v>233962.81</v>
      </c>
    </row>
    <row r="19" spans="1:5" x14ac:dyDescent="0.45">
      <c r="A19" t="s">
        <v>200</v>
      </c>
      <c r="B19">
        <f>SUMIFS(PQ_GL_Data!$J:$J,PQ_GL_Data!$C:$C,"MIA",PQ_GL_Data!$G:$G,"Revenue",PQ_GL_Data!$H:$H,"No",PQ_GL_Data!$N:$N,"2025-06")-SUMIFS(PQ_GL_Data!$I:$I,PQ_GL_Data!$C:$C,"MIA",PQ_GL_Data!$G:$G,"Revenue",PQ_GL_Data!$H:$H,"No",PQ_GL_Data!$N:$N,"2025-06")</f>
        <v>113863.1</v>
      </c>
      <c r="C19">
        <f>SUMIFS(PQ_GL_Data!$J:$J,PQ_GL_Data!$C:$C,"CHI",PQ_GL_Data!$G:$G,"Revenue",PQ_GL_Data!$H:$H,"No",PQ_GL_Data!$N:$N,"2025-06")-SUMIFS(PQ_GL_Data!$I:$I,PQ_GL_Data!$C:$C,"CHI",PQ_GL_Data!$G:$G,"Revenue",PQ_GL_Data!$H:$H,"No",PQ_GL_Data!$N:$N,"2025-06")</f>
        <v>69904.78</v>
      </c>
      <c r="D19">
        <f>SUMIFS(PQ_GL_Data!$J:$J,PQ_GL_Data!$C:$C,"DAL",PQ_GL_Data!$G:$G,"Revenue",PQ_GL_Data!$H:$H,"No",PQ_GL_Data!$N:$N,"2025-06")-SUMIFS(PQ_GL_Data!$I:$I,PQ_GL_Data!$C:$C,"DAL",PQ_GL_Data!$G:$G,"Revenue",PQ_GL_Data!$H:$H,"No",PQ_GL_Data!$N:$N,"2025-06")</f>
        <v>57235.199999999997</v>
      </c>
      <c r="E19">
        <f t="shared" si="0"/>
        <v>241003.08000000002</v>
      </c>
    </row>
    <row r="22" spans="1:5" x14ac:dyDescent="0.45">
      <c r="A22" t="s">
        <v>160</v>
      </c>
      <c r="B22" t="s">
        <v>201</v>
      </c>
      <c r="C22" t="s">
        <v>202</v>
      </c>
    </row>
    <row r="23" spans="1:5" x14ac:dyDescent="0.45">
      <c r="A23" t="s">
        <v>72</v>
      </c>
      <c r="B23">
        <f>SUMIFS(Budget_vs_Actual!$C:$C,Budget_vs_Actual!$A:$A,"MIA")</f>
        <v>182255.35000000003</v>
      </c>
      <c r="C23">
        <f>SUMIFS(Budget_vs_Actual!$D:$D,Budget_vs_Actual!$A:$A,"MIA")</f>
        <v>185812.48000000001</v>
      </c>
    </row>
    <row r="24" spans="1:5" x14ac:dyDescent="0.45">
      <c r="A24" t="s">
        <v>73</v>
      </c>
      <c r="B24">
        <f>SUMIFS(Budget_vs_Actual!$C:$C,Budget_vs_Actual!$A:$A,"CHI")</f>
        <v>116491.22000000002</v>
      </c>
      <c r="C24">
        <f>SUMIFS(Budget_vs_Actual!$D:$D,Budget_vs_Actual!$A:$A,"CHI")</f>
        <v>118265.53</v>
      </c>
    </row>
    <row r="25" spans="1:5" x14ac:dyDescent="0.45">
      <c r="A25" t="s">
        <v>74</v>
      </c>
      <c r="B25">
        <f>SUMIFS(Budget_vs_Actual!$C:$C,Budget_vs_Actual!$A:$A,"DAL")</f>
        <v>97555.94</v>
      </c>
      <c r="C25">
        <f>SUMIFS(Budget_vs_Actual!$D:$D,Budget_vs_Actual!$A:$A,"DAL")</f>
        <v>99997.859999999986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79A56"/>
  </sheetPr>
  <dimension ref="A1:N1787"/>
  <sheetViews>
    <sheetView showGridLines="0" workbookViewId="0"/>
  </sheetViews>
  <sheetFormatPr defaultRowHeight="14.25" x14ac:dyDescent="0.45"/>
  <cols>
    <col min="1" max="2" width="11" customWidth="1"/>
    <col min="3" max="3" width="12" customWidth="1"/>
    <col min="4" max="4" width="11" customWidth="1"/>
    <col min="5" max="7" width="13" customWidth="1"/>
    <col min="8" max="8" width="16" customWidth="1"/>
    <col min="9" max="10" width="11" customWidth="1"/>
    <col min="11" max="11" width="13" customWidth="1"/>
    <col min="12" max="12" width="11" customWidth="1"/>
    <col min="13" max="13" width="20" customWidth="1"/>
    <col min="14" max="14" width="11" customWidth="1"/>
  </cols>
  <sheetData>
    <row r="1" spans="1:14" x14ac:dyDescent="0.45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</row>
    <row r="2" spans="1:14" x14ac:dyDescent="0.45">
      <c r="A2">
        <v>1</v>
      </c>
      <c r="B2">
        <v>1</v>
      </c>
      <c r="C2" t="s">
        <v>72</v>
      </c>
      <c r="D2" t="s">
        <v>217</v>
      </c>
      <c r="E2">
        <v>1100</v>
      </c>
      <c r="F2" t="s">
        <v>80</v>
      </c>
      <c r="G2" t="s">
        <v>78</v>
      </c>
      <c r="H2" t="s">
        <v>218</v>
      </c>
      <c r="I2">
        <v>95742</v>
      </c>
      <c r="J2">
        <v>0</v>
      </c>
      <c r="K2" t="s">
        <v>219</v>
      </c>
      <c r="L2" t="s">
        <v>220</v>
      </c>
      <c r="N2" t="s">
        <v>183</v>
      </c>
    </row>
    <row r="3" spans="1:14" x14ac:dyDescent="0.45">
      <c r="A3">
        <v>2</v>
      </c>
      <c r="B3">
        <v>1</v>
      </c>
      <c r="C3" t="s">
        <v>72</v>
      </c>
      <c r="D3" t="s">
        <v>217</v>
      </c>
      <c r="E3">
        <v>4010</v>
      </c>
      <c r="F3" t="s">
        <v>101</v>
      </c>
      <c r="G3" t="s">
        <v>99</v>
      </c>
      <c r="H3" t="s">
        <v>218</v>
      </c>
      <c r="I3">
        <v>0</v>
      </c>
      <c r="J3">
        <v>40211.64</v>
      </c>
      <c r="K3" t="s">
        <v>219</v>
      </c>
      <c r="L3" t="s">
        <v>220</v>
      </c>
      <c r="N3" t="s">
        <v>183</v>
      </c>
    </row>
    <row r="4" spans="1:14" x14ac:dyDescent="0.45">
      <c r="A4">
        <v>3</v>
      </c>
      <c r="B4">
        <v>1</v>
      </c>
      <c r="C4" t="s">
        <v>72</v>
      </c>
      <c r="D4" t="s">
        <v>217</v>
      </c>
      <c r="E4">
        <v>4020</v>
      </c>
      <c r="F4" t="s">
        <v>103</v>
      </c>
      <c r="G4" t="s">
        <v>99</v>
      </c>
      <c r="H4" t="s">
        <v>218</v>
      </c>
      <c r="I4">
        <v>0</v>
      </c>
      <c r="J4">
        <v>31594.86</v>
      </c>
      <c r="K4" t="s">
        <v>219</v>
      </c>
      <c r="L4" t="s">
        <v>220</v>
      </c>
      <c r="N4" t="s">
        <v>183</v>
      </c>
    </row>
    <row r="5" spans="1:14" x14ac:dyDescent="0.45">
      <c r="A5">
        <v>4</v>
      </c>
      <c r="B5">
        <v>1</v>
      </c>
      <c r="C5" t="s">
        <v>72</v>
      </c>
      <c r="D5" t="s">
        <v>217</v>
      </c>
      <c r="E5">
        <v>4030</v>
      </c>
      <c r="F5" t="s">
        <v>105</v>
      </c>
      <c r="G5" t="s">
        <v>99</v>
      </c>
      <c r="H5" t="s">
        <v>218</v>
      </c>
      <c r="I5">
        <v>0</v>
      </c>
      <c r="J5">
        <v>23935.5</v>
      </c>
      <c r="K5" t="s">
        <v>219</v>
      </c>
      <c r="L5" t="s">
        <v>220</v>
      </c>
      <c r="N5" t="s">
        <v>183</v>
      </c>
    </row>
    <row r="6" spans="1:14" x14ac:dyDescent="0.45">
      <c r="A6">
        <v>5</v>
      </c>
      <c r="B6">
        <v>2</v>
      </c>
      <c r="C6" t="s">
        <v>72</v>
      </c>
      <c r="D6" t="s">
        <v>221</v>
      </c>
      <c r="E6">
        <v>1000</v>
      </c>
      <c r="F6" t="s">
        <v>77</v>
      </c>
      <c r="G6" t="s">
        <v>78</v>
      </c>
      <c r="H6" t="s">
        <v>218</v>
      </c>
      <c r="I6">
        <v>89893.86</v>
      </c>
      <c r="J6">
        <v>0</v>
      </c>
      <c r="K6" t="s">
        <v>222</v>
      </c>
      <c r="L6" t="s">
        <v>223</v>
      </c>
      <c r="N6" t="s">
        <v>183</v>
      </c>
    </row>
    <row r="7" spans="1:14" x14ac:dyDescent="0.45">
      <c r="A7">
        <v>6</v>
      </c>
      <c r="B7">
        <v>2</v>
      </c>
      <c r="C7" t="s">
        <v>72</v>
      </c>
      <c r="D7" t="s">
        <v>221</v>
      </c>
      <c r="E7">
        <v>1100</v>
      </c>
      <c r="F7" t="s">
        <v>80</v>
      </c>
      <c r="G7" t="s">
        <v>78</v>
      </c>
      <c r="H7" t="s">
        <v>218</v>
      </c>
      <c r="I7">
        <v>0</v>
      </c>
      <c r="J7">
        <v>89893.86</v>
      </c>
      <c r="K7" t="s">
        <v>222</v>
      </c>
      <c r="L7" t="s">
        <v>223</v>
      </c>
      <c r="N7" t="s">
        <v>183</v>
      </c>
    </row>
    <row r="8" spans="1:14" x14ac:dyDescent="0.45">
      <c r="A8">
        <v>7</v>
      </c>
      <c r="B8">
        <v>3</v>
      </c>
      <c r="C8" t="s">
        <v>72</v>
      </c>
      <c r="D8" t="s">
        <v>224</v>
      </c>
      <c r="E8">
        <v>5010</v>
      </c>
      <c r="F8" t="s">
        <v>112</v>
      </c>
      <c r="G8" t="s">
        <v>110</v>
      </c>
      <c r="H8" t="s">
        <v>218</v>
      </c>
      <c r="I8">
        <v>5437.52</v>
      </c>
      <c r="J8">
        <v>0</v>
      </c>
      <c r="K8" t="s">
        <v>225</v>
      </c>
      <c r="L8" t="s">
        <v>226</v>
      </c>
      <c r="N8" t="s">
        <v>183</v>
      </c>
    </row>
    <row r="9" spans="1:14" x14ac:dyDescent="0.45">
      <c r="A9">
        <v>8</v>
      </c>
      <c r="B9">
        <v>3</v>
      </c>
      <c r="C9" t="s">
        <v>72</v>
      </c>
      <c r="D9" t="s">
        <v>224</v>
      </c>
      <c r="E9">
        <v>5020</v>
      </c>
      <c r="F9" t="s">
        <v>114</v>
      </c>
      <c r="G9" t="s">
        <v>110</v>
      </c>
      <c r="H9" t="s">
        <v>218</v>
      </c>
      <c r="I9">
        <v>4448.88</v>
      </c>
      <c r="J9">
        <v>0</v>
      </c>
      <c r="K9" t="s">
        <v>225</v>
      </c>
      <c r="L9" t="s">
        <v>226</v>
      </c>
      <c r="N9" t="s">
        <v>183</v>
      </c>
    </row>
    <row r="10" spans="1:14" x14ac:dyDescent="0.45">
      <c r="A10">
        <v>9</v>
      </c>
      <c r="B10">
        <v>3</v>
      </c>
      <c r="C10" t="s">
        <v>72</v>
      </c>
      <c r="D10" t="s">
        <v>224</v>
      </c>
      <c r="E10">
        <v>1000</v>
      </c>
      <c r="F10" t="s">
        <v>77</v>
      </c>
      <c r="G10" t="s">
        <v>78</v>
      </c>
      <c r="H10" t="s">
        <v>218</v>
      </c>
      <c r="I10">
        <v>0</v>
      </c>
      <c r="J10">
        <v>6920.48</v>
      </c>
      <c r="K10" t="s">
        <v>225</v>
      </c>
      <c r="L10" t="s">
        <v>226</v>
      </c>
      <c r="N10" t="s">
        <v>183</v>
      </c>
    </row>
    <row r="11" spans="1:14" x14ac:dyDescent="0.45">
      <c r="A11">
        <v>10</v>
      </c>
      <c r="B11">
        <v>3</v>
      </c>
      <c r="C11" t="s">
        <v>72</v>
      </c>
      <c r="D11" t="s">
        <v>224</v>
      </c>
      <c r="E11">
        <v>2000</v>
      </c>
      <c r="F11" t="s">
        <v>88</v>
      </c>
      <c r="G11" t="s">
        <v>89</v>
      </c>
      <c r="H11" t="s">
        <v>218</v>
      </c>
      <c r="I11">
        <v>0</v>
      </c>
      <c r="J11">
        <v>2965.92</v>
      </c>
      <c r="K11" t="s">
        <v>225</v>
      </c>
      <c r="L11" t="s">
        <v>226</v>
      </c>
      <c r="N11" t="s">
        <v>183</v>
      </c>
    </row>
    <row r="12" spans="1:14" x14ac:dyDescent="0.45">
      <c r="A12">
        <v>11</v>
      </c>
      <c r="B12">
        <v>4</v>
      </c>
      <c r="C12" t="s">
        <v>72</v>
      </c>
      <c r="D12" t="s">
        <v>227</v>
      </c>
      <c r="E12">
        <v>6010</v>
      </c>
      <c r="F12" t="s">
        <v>119</v>
      </c>
      <c r="G12" t="s">
        <v>117</v>
      </c>
      <c r="H12" t="s">
        <v>218</v>
      </c>
      <c r="I12">
        <v>41000</v>
      </c>
      <c r="J12">
        <v>0</v>
      </c>
      <c r="K12" t="s">
        <v>228</v>
      </c>
      <c r="L12" t="s">
        <v>229</v>
      </c>
      <c r="N12" t="s">
        <v>183</v>
      </c>
    </row>
    <row r="13" spans="1:14" x14ac:dyDescent="0.45">
      <c r="A13">
        <v>12</v>
      </c>
      <c r="B13">
        <v>4</v>
      </c>
      <c r="C13" t="s">
        <v>72</v>
      </c>
      <c r="D13" t="s">
        <v>227</v>
      </c>
      <c r="E13">
        <v>6020</v>
      </c>
      <c r="F13" t="s">
        <v>121</v>
      </c>
      <c r="G13" t="s">
        <v>117</v>
      </c>
      <c r="H13" t="s">
        <v>218</v>
      </c>
      <c r="I13">
        <v>5740</v>
      </c>
      <c r="J13">
        <v>0</v>
      </c>
      <c r="K13" t="s">
        <v>228</v>
      </c>
      <c r="L13" t="s">
        <v>229</v>
      </c>
      <c r="N13" t="s">
        <v>183</v>
      </c>
    </row>
    <row r="14" spans="1:14" x14ac:dyDescent="0.45">
      <c r="A14">
        <v>13</v>
      </c>
      <c r="B14">
        <v>4</v>
      </c>
      <c r="C14" t="s">
        <v>72</v>
      </c>
      <c r="D14" t="s">
        <v>227</v>
      </c>
      <c r="E14">
        <v>1000</v>
      </c>
      <c r="F14" t="s">
        <v>77</v>
      </c>
      <c r="G14" t="s">
        <v>78</v>
      </c>
      <c r="H14" t="s">
        <v>218</v>
      </c>
      <c r="I14">
        <v>0</v>
      </c>
      <c r="J14">
        <v>42066</v>
      </c>
      <c r="K14" t="s">
        <v>228</v>
      </c>
      <c r="L14" t="s">
        <v>229</v>
      </c>
      <c r="N14" t="s">
        <v>183</v>
      </c>
    </row>
    <row r="15" spans="1:14" x14ac:dyDescent="0.45">
      <c r="A15">
        <v>14</v>
      </c>
      <c r="B15">
        <v>4</v>
      </c>
      <c r="C15" t="s">
        <v>72</v>
      </c>
      <c r="D15" t="s">
        <v>227</v>
      </c>
      <c r="E15">
        <v>2100</v>
      </c>
      <c r="F15" t="s">
        <v>91</v>
      </c>
      <c r="G15" t="s">
        <v>89</v>
      </c>
      <c r="H15" t="s">
        <v>218</v>
      </c>
      <c r="I15">
        <v>0</v>
      </c>
      <c r="J15">
        <v>4674</v>
      </c>
      <c r="K15" t="s">
        <v>228</v>
      </c>
      <c r="L15" t="s">
        <v>229</v>
      </c>
      <c r="N15" t="s">
        <v>183</v>
      </c>
    </row>
    <row r="16" spans="1:14" x14ac:dyDescent="0.45">
      <c r="A16">
        <v>15</v>
      </c>
      <c r="B16">
        <v>4</v>
      </c>
      <c r="C16" t="s">
        <v>72</v>
      </c>
      <c r="D16" t="s">
        <v>227</v>
      </c>
      <c r="E16">
        <v>2100</v>
      </c>
      <c r="F16" t="s">
        <v>91</v>
      </c>
      <c r="G16" t="s">
        <v>89</v>
      </c>
      <c r="H16" t="s">
        <v>218</v>
      </c>
      <c r="I16">
        <v>0</v>
      </c>
      <c r="J16">
        <v>0</v>
      </c>
      <c r="K16" t="s">
        <v>228</v>
      </c>
      <c r="L16" t="s">
        <v>229</v>
      </c>
      <c r="N16" t="s">
        <v>183</v>
      </c>
    </row>
    <row r="17" spans="1:14" x14ac:dyDescent="0.45">
      <c r="A17">
        <v>16</v>
      </c>
      <c r="B17">
        <v>5</v>
      </c>
      <c r="C17" t="s">
        <v>72</v>
      </c>
      <c r="D17" t="s">
        <v>230</v>
      </c>
      <c r="E17">
        <v>6030</v>
      </c>
      <c r="F17" t="s">
        <v>123</v>
      </c>
      <c r="G17" t="s">
        <v>117</v>
      </c>
      <c r="H17" t="s">
        <v>218</v>
      </c>
      <c r="I17">
        <v>6800</v>
      </c>
      <c r="J17">
        <v>0</v>
      </c>
      <c r="K17" t="s">
        <v>231</v>
      </c>
      <c r="L17" t="s">
        <v>232</v>
      </c>
      <c r="N17" t="s">
        <v>183</v>
      </c>
    </row>
    <row r="18" spans="1:14" x14ac:dyDescent="0.45">
      <c r="A18">
        <v>17</v>
      </c>
      <c r="B18">
        <v>5</v>
      </c>
      <c r="C18" t="s">
        <v>72</v>
      </c>
      <c r="D18" t="s">
        <v>230</v>
      </c>
      <c r="E18">
        <v>1000</v>
      </c>
      <c r="F18" t="s">
        <v>77</v>
      </c>
      <c r="G18" t="s">
        <v>78</v>
      </c>
      <c r="H18" t="s">
        <v>218</v>
      </c>
      <c r="I18">
        <v>0</v>
      </c>
      <c r="J18">
        <v>6800</v>
      </c>
      <c r="K18" t="s">
        <v>231</v>
      </c>
      <c r="L18" t="s">
        <v>232</v>
      </c>
      <c r="N18" t="s">
        <v>183</v>
      </c>
    </row>
    <row r="19" spans="1:14" x14ac:dyDescent="0.45">
      <c r="A19">
        <v>18</v>
      </c>
      <c r="B19">
        <v>6</v>
      </c>
      <c r="C19" t="s">
        <v>72</v>
      </c>
      <c r="D19" t="s">
        <v>233</v>
      </c>
      <c r="E19">
        <v>6040</v>
      </c>
      <c r="F19" t="s">
        <v>125</v>
      </c>
      <c r="G19" t="s">
        <v>117</v>
      </c>
      <c r="H19" t="s">
        <v>218</v>
      </c>
      <c r="I19">
        <v>3330.16</v>
      </c>
      <c r="J19">
        <v>0</v>
      </c>
      <c r="K19" t="s">
        <v>234</v>
      </c>
      <c r="L19" t="s">
        <v>226</v>
      </c>
      <c r="N19" t="s">
        <v>183</v>
      </c>
    </row>
    <row r="20" spans="1:14" x14ac:dyDescent="0.45">
      <c r="A20">
        <v>19</v>
      </c>
      <c r="B20">
        <v>6</v>
      </c>
      <c r="C20" t="s">
        <v>72</v>
      </c>
      <c r="D20" t="s">
        <v>233</v>
      </c>
      <c r="E20">
        <v>1000</v>
      </c>
      <c r="F20" t="s">
        <v>77</v>
      </c>
      <c r="G20" t="s">
        <v>78</v>
      </c>
      <c r="H20" t="s">
        <v>218</v>
      </c>
      <c r="I20">
        <v>0</v>
      </c>
      <c r="J20">
        <v>2664.13</v>
      </c>
      <c r="K20" t="s">
        <v>234</v>
      </c>
      <c r="L20" t="s">
        <v>226</v>
      </c>
      <c r="N20" t="s">
        <v>183</v>
      </c>
    </row>
    <row r="21" spans="1:14" x14ac:dyDescent="0.45">
      <c r="A21">
        <v>20</v>
      </c>
      <c r="B21">
        <v>6</v>
      </c>
      <c r="C21" t="s">
        <v>72</v>
      </c>
      <c r="D21" t="s">
        <v>233</v>
      </c>
      <c r="E21">
        <v>2000</v>
      </c>
      <c r="F21" t="s">
        <v>88</v>
      </c>
      <c r="G21" t="s">
        <v>89</v>
      </c>
      <c r="H21" t="s">
        <v>218</v>
      </c>
      <c r="I21">
        <v>0</v>
      </c>
      <c r="J21">
        <v>666.03</v>
      </c>
      <c r="K21" t="s">
        <v>234</v>
      </c>
      <c r="L21" t="s">
        <v>226</v>
      </c>
      <c r="N21" t="s">
        <v>183</v>
      </c>
    </row>
    <row r="22" spans="1:14" x14ac:dyDescent="0.45">
      <c r="A22">
        <v>21</v>
      </c>
      <c r="B22">
        <v>7</v>
      </c>
      <c r="C22" t="s">
        <v>72</v>
      </c>
      <c r="D22" t="s">
        <v>230</v>
      </c>
      <c r="E22">
        <v>6050</v>
      </c>
      <c r="F22" t="s">
        <v>127</v>
      </c>
      <c r="G22" t="s">
        <v>117</v>
      </c>
      <c r="H22" t="s">
        <v>218</v>
      </c>
      <c r="I22">
        <v>1450</v>
      </c>
      <c r="J22">
        <v>0</v>
      </c>
      <c r="K22" t="s">
        <v>235</v>
      </c>
      <c r="L22" t="s">
        <v>236</v>
      </c>
      <c r="N22" t="s">
        <v>183</v>
      </c>
    </row>
    <row r="23" spans="1:14" x14ac:dyDescent="0.45">
      <c r="A23">
        <v>22</v>
      </c>
      <c r="B23">
        <v>7</v>
      </c>
      <c r="C23" t="s">
        <v>72</v>
      </c>
      <c r="D23" t="s">
        <v>230</v>
      </c>
      <c r="E23">
        <v>1200</v>
      </c>
      <c r="F23" t="s">
        <v>82</v>
      </c>
      <c r="G23" t="s">
        <v>78</v>
      </c>
      <c r="H23" t="s">
        <v>218</v>
      </c>
      <c r="I23">
        <v>0</v>
      </c>
      <c r="J23">
        <v>1450</v>
      </c>
      <c r="K23" t="s">
        <v>235</v>
      </c>
      <c r="L23" t="s">
        <v>236</v>
      </c>
      <c r="N23" t="s">
        <v>183</v>
      </c>
    </row>
    <row r="24" spans="1:14" x14ac:dyDescent="0.45">
      <c r="A24">
        <v>23</v>
      </c>
      <c r="B24">
        <v>8</v>
      </c>
      <c r="C24" t="s">
        <v>72</v>
      </c>
      <c r="D24" t="s">
        <v>237</v>
      </c>
      <c r="E24">
        <v>6060</v>
      </c>
      <c r="F24" t="s">
        <v>129</v>
      </c>
      <c r="G24" t="s">
        <v>117</v>
      </c>
      <c r="H24" t="s">
        <v>218</v>
      </c>
      <c r="I24">
        <v>2100</v>
      </c>
      <c r="J24">
        <v>0</v>
      </c>
      <c r="K24" t="s">
        <v>238</v>
      </c>
      <c r="L24" t="s">
        <v>232</v>
      </c>
      <c r="N24" t="s">
        <v>183</v>
      </c>
    </row>
    <row r="25" spans="1:14" x14ac:dyDescent="0.45">
      <c r="A25">
        <v>24</v>
      </c>
      <c r="B25">
        <v>8</v>
      </c>
      <c r="C25" t="s">
        <v>72</v>
      </c>
      <c r="D25" t="s">
        <v>237</v>
      </c>
      <c r="E25">
        <v>1000</v>
      </c>
      <c r="F25" t="s">
        <v>77</v>
      </c>
      <c r="G25" t="s">
        <v>78</v>
      </c>
      <c r="H25" t="s">
        <v>218</v>
      </c>
      <c r="I25">
        <v>0</v>
      </c>
      <c r="J25">
        <v>2100</v>
      </c>
      <c r="K25" t="s">
        <v>238</v>
      </c>
      <c r="L25" t="s">
        <v>232</v>
      </c>
      <c r="N25" t="s">
        <v>183</v>
      </c>
    </row>
    <row r="26" spans="1:14" x14ac:dyDescent="0.45">
      <c r="A26">
        <v>25</v>
      </c>
      <c r="B26">
        <v>9</v>
      </c>
      <c r="C26" t="s">
        <v>72</v>
      </c>
      <c r="D26" t="s">
        <v>239</v>
      </c>
      <c r="E26">
        <v>7000</v>
      </c>
      <c r="F26" t="s">
        <v>133</v>
      </c>
      <c r="G26" t="s">
        <v>117</v>
      </c>
      <c r="H26" t="s">
        <v>218</v>
      </c>
      <c r="I26">
        <v>1100</v>
      </c>
      <c r="J26">
        <v>0</v>
      </c>
      <c r="K26" t="s">
        <v>240</v>
      </c>
      <c r="L26" t="s">
        <v>241</v>
      </c>
      <c r="N26" t="s">
        <v>183</v>
      </c>
    </row>
    <row r="27" spans="1:14" x14ac:dyDescent="0.45">
      <c r="A27">
        <v>26</v>
      </c>
      <c r="B27">
        <v>9</v>
      </c>
      <c r="C27" t="s">
        <v>72</v>
      </c>
      <c r="D27" t="s">
        <v>239</v>
      </c>
      <c r="E27">
        <v>1500</v>
      </c>
      <c r="F27" t="s">
        <v>86</v>
      </c>
      <c r="G27" t="s">
        <v>78</v>
      </c>
      <c r="H27" t="s">
        <v>218</v>
      </c>
      <c r="I27">
        <v>0</v>
      </c>
      <c r="J27">
        <v>1100</v>
      </c>
      <c r="K27" t="s">
        <v>240</v>
      </c>
      <c r="L27" t="s">
        <v>241</v>
      </c>
      <c r="N27" t="s">
        <v>183</v>
      </c>
    </row>
    <row r="28" spans="1:14" x14ac:dyDescent="0.45">
      <c r="A28">
        <v>27</v>
      </c>
      <c r="B28">
        <v>10</v>
      </c>
      <c r="C28" t="s">
        <v>73</v>
      </c>
      <c r="D28" t="s">
        <v>217</v>
      </c>
      <c r="E28">
        <v>1100</v>
      </c>
      <c r="F28" t="s">
        <v>80</v>
      </c>
      <c r="G28" t="s">
        <v>78</v>
      </c>
      <c r="H28" t="s">
        <v>218</v>
      </c>
      <c r="I28">
        <v>51668.99</v>
      </c>
      <c r="J28">
        <v>0</v>
      </c>
      <c r="K28" t="s">
        <v>242</v>
      </c>
      <c r="L28" t="s">
        <v>220</v>
      </c>
      <c r="N28" t="s">
        <v>183</v>
      </c>
    </row>
    <row r="29" spans="1:14" x14ac:dyDescent="0.45">
      <c r="A29">
        <v>28</v>
      </c>
      <c r="B29">
        <v>10</v>
      </c>
      <c r="C29" t="s">
        <v>73</v>
      </c>
      <c r="D29" t="s">
        <v>217</v>
      </c>
      <c r="E29">
        <v>4010</v>
      </c>
      <c r="F29" t="s">
        <v>101</v>
      </c>
      <c r="G29" t="s">
        <v>99</v>
      </c>
      <c r="H29" t="s">
        <v>218</v>
      </c>
      <c r="I29">
        <v>0</v>
      </c>
      <c r="J29">
        <v>21700.98</v>
      </c>
      <c r="K29" t="s">
        <v>242</v>
      </c>
      <c r="L29" t="s">
        <v>220</v>
      </c>
      <c r="N29" t="s">
        <v>183</v>
      </c>
    </row>
    <row r="30" spans="1:14" x14ac:dyDescent="0.45">
      <c r="A30">
        <v>29</v>
      </c>
      <c r="B30">
        <v>10</v>
      </c>
      <c r="C30" t="s">
        <v>73</v>
      </c>
      <c r="D30" t="s">
        <v>217</v>
      </c>
      <c r="E30">
        <v>4020</v>
      </c>
      <c r="F30" t="s">
        <v>103</v>
      </c>
      <c r="G30" t="s">
        <v>99</v>
      </c>
      <c r="H30" t="s">
        <v>218</v>
      </c>
      <c r="I30">
        <v>0</v>
      </c>
      <c r="J30">
        <v>17050.77</v>
      </c>
      <c r="K30" t="s">
        <v>242</v>
      </c>
      <c r="L30" t="s">
        <v>220</v>
      </c>
      <c r="N30" t="s">
        <v>183</v>
      </c>
    </row>
    <row r="31" spans="1:14" x14ac:dyDescent="0.45">
      <c r="A31">
        <v>30</v>
      </c>
      <c r="B31">
        <v>10</v>
      </c>
      <c r="C31" t="s">
        <v>73</v>
      </c>
      <c r="D31" t="s">
        <v>217</v>
      </c>
      <c r="E31">
        <v>4030</v>
      </c>
      <c r="F31" t="s">
        <v>105</v>
      </c>
      <c r="G31" t="s">
        <v>99</v>
      </c>
      <c r="H31" t="s">
        <v>218</v>
      </c>
      <c r="I31">
        <v>0</v>
      </c>
      <c r="J31">
        <v>12917.24</v>
      </c>
      <c r="K31" t="s">
        <v>242</v>
      </c>
      <c r="L31" t="s">
        <v>220</v>
      </c>
      <c r="N31" t="s">
        <v>183</v>
      </c>
    </row>
    <row r="32" spans="1:14" x14ac:dyDescent="0.45">
      <c r="A32">
        <v>31</v>
      </c>
      <c r="B32">
        <v>11</v>
      </c>
      <c r="C32" t="s">
        <v>73</v>
      </c>
      <c r="D32" t="s">
        <v>221</v>
      </c>
      <c r="E32">
        <v>1000</v>
      </c>
      <c r="F32" t="s">
        <v>77</v>
      </c>
      <c r="G32" t="s">
        <v>78</v>
      </c>
      <c r="H32" t="s">
        <v>218</v>
      </c>
      <c r="I32">
        <v>46379.91</v>
      </c>
      <c r="J32">
        <v>0</v>
      </c>
      <c r="K32" t="s">
        <v>243</v>
      </c>
      <c r="L32" t="s">
        <v>223</v>
      </c>
      <c r="N32" t="s">
        <v>183</v>
      </c>
    </row>
    <row r="33" spans="1:14" x14ac:dyDescent="0.45">
      <c r="A33">
        <v>32</v>
      </c>
      <c r="B33">
        <v>11</v>
      </c>
      <c r="C33" t="s">
        <v>73</v>
      </c>
      <c r="D33" t="s">
        <v>221</v>
      </c>
      <c r="E33">
        <v>1100</v>
      </c>
      <c r="F33" t="s">
        <v>80</v>
      </c>
      <c r="G33" t="s">
        <v>78</v>
      </c>
      <c r="H33" t="s">
        <v>218</v>
      </c>
      <c r="I33">
        <v>0</v>
      </c>
      <c r="J33">
        <v>46379.91</v>
      </c>
      <c r="K33" t="s">
        <v>243</v>
      </c>
      <c r="L33" t="s">
        <v>223</v>
      </c>
      <c r="N33" t="s">
        <v>183</v>
      </c>
    </row>
    <row r="34" spans="1:14" x14ac:dyDescent="0.45">
      <c r="A34">
        <v>33</v>
      </c>
      <c r="B34">
        <v>12</v>
      </c>
      <c r="C34" t="s">
        <v>73</v>
      </c>
      <c r="D34" t="s">
        <v>224</v>
      </c>
      <c r="E34">
        <v>5010</v>
      </c>
      <c r="F34" t="s">
        <v>112</v>
      </c>
      <c r="G34" t="s">
        <v>110</v>
      </c>
      <c r="H34" t="s">
        <v>218</v>
      </c>
      <c r="I34">
        <v>2934.46</v>
      </c>
      <c r="J34">
        <v>0</v>
      </c>
      <c r="K34" t="s">
        <v>244</v>
      </c>
      <c r="L34" t="s">
        <v>226</v>
      </c>
      <c r="N34" t="s">
        <v>183</v>
      </c>
    </row>
    <row r="35" spans="1:14" x14ac:dyDescent="0.45">
      <c r="A35">
        <v>34</v>
      </c>
      <c r="B35">
        <v>12</v>
      </c>
      <c r="C35" t="s">
        <v>73</v>
      </c>
      <c r="D35" t="s">
        <v>224</v>
      </c>
      <c r="E35">
        <v>5020</v>
      </c>
      <c r="F35" t="s">
        <v>114</v>
      </c>
      <c r="G35" t="s">
        <v>110</v>
      </c>
      <c r="H35" t="s">
        <v>218</v>
      </c>
      <c r="I35">
        <v>2400.9299999999998</v>
      </c>
      <c r="J35">
        <v>0</v>
      </c>
      <c r="K35" t="s">
        <v>244</v>
      </c>
      <c r="L35" t="s">
        <v>226</v>
      </c>
      <c r="N35" t="s">
        <v>183</v>
      </c>
    </row>
    <row r="36" spans="1:14" x14ac:dyDescent="0.45">
      <c r="A36">
        <v>35</v>
      </c>
      <c r="B36">
        <v>12</v>
      </c>
      <c r="C36" t="s">
        <v>73</v>
      </c>
      <c r="D36" t="s">
        <v>224</v>
      </c>
      <c r="E36">
        <v>1000</v>
      </c>
      <c r="F36" t="s">
        <v>77</v>
      </c>
      <c r="G36" t="s">
        <v>78</v>
      </c>
      <c r="H36" t="s">
        <v>218</v>
      </c>
      <c r="I36">
        <v>0</v>
      </c>
      <c r="J36">
        <v>3734.77</v>
      </c>
      <c r="K36" t="s">
        <v>244</v>
      </c>
      <c r="L36" t="s">
        <v>226</v>
      </c>
      <c r="N36" t="s">
        <v>183</v>
      </c>
    </row>
    <row r="37" spans="1:14" x14ac:dyDescent="0.45">
      <c r="A37">
        <v>36</v>
      </c>
      <c r="B37">
        <v>12</v>
      </c>
      <c r="C37" t="s">
        <v>73</v>
      </c>
      <c r="D37" t="s">
        <v>224</v>
      </c>
      <c r="E37">
        <v>2000</v>
      </c>
      <c r="F37" t="s">
        <v>88</v>
      </c>
      <c r="G37" t="s">
        <v>89</v>
      </c>
      <c r="H37" t="s">
        <v>218</v>
      </c>
      <c r="I37">
        <v>0</v>
      </c>
      <c r="J37">
        <v>1600.62</v>
      </c>
      <c r="K37" t="s">
        <v>244</v>
      </c>
      <c r="L37" t="s">
        <v>226</v>
      </c>
      <c r="N37" t="s">
        <v>183</v>
      </c>
    </row>
    <row r="38" spans="1:14" x14ac:dyDescent="0.45">
      <c r="A38">
        <v>37</v>
      </c>
      <c r="B38">
        <v>13</v>
      </c>
      <c r="C38" t="s">
        <v>73</v>
      </c>
      <c r="D38" t="s">
        <v>227</v>
      </c>
      <c r="E38">
        <v>6010</v>
      </c>
      <c r="F38" t="s">
        <v>119</v>
      </c>
      <c r="G38" t="s">
        <v>117</v>
      </c>
      <c r="H38" t="s">
        <v>218</v>
      </c>
      <c r="I38">
        <v>25420</v>
      </c>
      <c r="J38">
        <v>0</v>
      </c>
      <c r="K38" t="s">
        <v>245</v>
      </c>
      <c r="L38" t="s">
        <v>229</v>
      </c>
      <c r="N38" t="s">
        <v>183</v>
      </c>
    </row>
    <row r="39" spans="1:14" x14ac:dyDescent="0.45">
      <c r="A39">
        <v>38</v>
      </c>
      <c r="B39">
        <v>13</v>
      </c>
      <c r="C39" t="s">
        <v>73</v>
      </c>
      <c r="D39" t="s">
        <v>227</v>
      </c>
      <c r="E39">
        <v>6020</v>
      </c>
      <c r="F39" t="s">
        <v>121</v>
      </c>
      <c r="G39" t="s">
        <v>117</v>
      </c>
      <c r="H39" t="s">
        <v>218</v>
      </c>
      <c r="I39">
        <v>3558.8</v>
      </c>
      <c r="J39">
        <v>0</v>
      </c>
      <c r="K39" t="s">
        <v>245</v>
      </c>
      <c r="L39" t="s">
        <v>229</v>
      </c>
      <c r="N39" t="s">
        <v>183</v>
      </c>
    </row>
    <row r="40" spans="1:14" x14ac:dyDescent="0.45">
      <c r="A40">
        <v>39</v>
      </c>
      <c r="B40">
        <v>13</v>
      </c>
      <c r="C40" t="s">
        <v>73</v>
      </c>
      <c r="D40" t="s">
        <v>227</v>
      </c>
      <c r="E40">
        <v>1000</v>
      </c>
      <c r="F40" t="s">
        <v>77</v>
      </c>
      <c r="G40" t="s">
        <v>78</v>
      </c>
      <c r="H40" t="s">
        <v>218</v>
      </c>
      <c r="I40">
        <v>0</v>
      </c>
      <c r="J40">
        <v>26080.92</v>
      </c>
      <c r="K40" t="s">
        <v>245</v>
      </c>
      <c r="L40" t="s">
        <v>229</v>
      </c>
      <c r="N40" t="s">
        <v>183</v>
      </c>
    </row>
    <row r="41" spans="1:14" x14ac:dyDescent="0.45">
      <c r="A41">
        <v>40</v>
      </c>
      <c r="B41">
        <v>13</v>
      </c>
      <c r="C41" t="s">
        <v>73</v>
      </c>
      <c r="D41" t="s">
        <v>227</v>
      </c>
      <c r="E41">
        <v>2100</v>
      </c>
      <c r="F41" t="s">
        <v>91</v>
      </c>
      <c r="G41" t="s">
        <v>89</v>
      </c>
      <c r="H41" t="s">
        <v>218</v>
      </c>
      <c r="I41">
        <v>0</v>
      </c>
      <c r="J41">
        <v>2897.88</v>
      </c>
      <c r="K41" t="s">
        <v>245</v>
      </c>
      <c r="L41" t="s">
        <v>229</v>
      </c>
      <c r="N41" t="s">
        <v>183</v>
      </c>
    </row>
    <row r="42" spans="1:14" x14ac:dyDescent="0.45">
      <c r="A42">
        <v>41</v>
      </c>
      <c r="B42">
        <v>13</v>
      </c>
      <c r="C42" t="s">
        <v>73</v>
      </c>
      <c r="D42" t="s">
        <v>227</v>
      </c>
      <c r="E42">
        <v>2100</v>
      </c>
      <c r="F42" t="s">
        <v>91</v>
      </c>
      <c r="G42" t="s">
        <v>89</v>
      </c>
      <c r="H42" t="s">
        <v>218</v>
      </c>
      <c r="I42">
        <v>0</v>
      </c>
      <c r="J42">
        <v>0</v>
      </c>
      <c r="K42" t="s">
        <v>245</v>
      </c>
      <c r="L42" t="s">
        <v>229</v>
      </c>
      <c r="N42" t="s">
        <v>183</v>
      </c>
    </row>
    <row r="43" spans="1:14" x14ac:dyDescent="0.45">
      <c r="A43">
        <v>42</v>
      </c>
      <c r="B43">
        <v>14</v>
      </c>
      <c r="C43" t="s">
        <v>73</v>
      </c>
      <c r="D43" t="s">
        <v>230</v>
      </c>
      <c r="E43">
        <v>6030</v>
      </c>
      <c r="F43" t="s">
        <v>123</v>
      </c>
      <c r="G43" t="s">
        <v>117</v>
      </c>
      <c r="H43" t="s">
        <v>218</v>
      </c>
      <c r="I43">
        <v>4216</v>
      </c>
      <c r="J43">
        <v>0</v>
      </c>
      <c r="K43" t="s">
        <v>246</v>
      </c>
      <c r="L43" t="s">
        <v>232</v>
      </c>
      <c r="N43" t="s">
        <v>183</v>
      </c>
    </row>
    <row r="44" spans="1:14" x14ac:dyDescent="0.45">
      <c r="A44">
        <v>43</v>
      </c>
      <c r="B44">
        <v>14</v>
      </c>
      <c r="C44" t="s">
        <v>73</v>
      </c>
      <c r="D44" t="s">
        <v>230</v>
      </c>
      <c r="E44">
        <v>1000</v>
      </c>
      <c r="F44" t="s">
        <v>77</v>
      </c>
      <c r="G44" t="s">
        <v>78</v>
      </c>
      <c r="H44" t="s">
        <v>218</v>
      </c>
      <c r="I44">
        <v>0</v>
      </c>
      <c r="J44">
        <v>4216</v>
      </c>
      <c r="K44" t="s">
        <v>246</v>
      </c>
      <c r="L44" t="s">
        <v>232</v>
      </c>
      <c r="N44" t="s">
        <v>183</v>
      </c>
    </row>
    <row r="45" spans="1:14" x14ac:dyDescent="0.45">
      <c r="A45">
        <v>44</v>
      </c>
      <c r="B45">
        <v>15</v>
      </c>
      <c r="C45" t="s">
        <v>73</v>
      </c>
      <c r="D45" t="s">
        <v>233</v>
      </c>
      <c r="E45">
        <v>6040</v>
      </c>
      <c r="F45" t="s">
        <v>125</v>
      </c>
      <c r="G45" t="s">
        <v>117</v>
      </c>
      <c r="H45" t="s">
        <v>218</v>
      </c>
      <c r="I45">
        <v>1797.18</v>
      </c>
      <c r="J45">
        <v>0</v>
      </c>
      <c r="K45" t="s">
        <v>247</v>
      </c>
      <c r="L45" t="s">
        <v>226</v>
      </c>
      <c r="N45" t="s">
        <v>183</v>
      </c>
    </row>
    <row r="46" spans="1:14" x14ac:dyDescent="0.45">
      <c r="A46">
        <v>45</v>
      </c>
      <c r="B46">
        <v>15</v>
      </c>
      <c r="C46" t="s">
        <v>73</v>
      </c>
      <c r="D46" t="s">
        <v>233</v>
      </c>
      <c r="E46">
        <v>1000</v>
      </c>
      <c r="F46" t="s">
        <v>77</v>
      </c>
      <c r="G46" t="s">
        <v>78</v>
      </c>
      <c r="H46" t="s">
        <v>218</v>
      </c>
      <c r="I46">
        <v>0</v>
      </c>
      <c r="J46">
        <v>1437.74</v>
      </c>
      <c r="K46" t="s">
        <v>247</v>
      </c>
      <c r="L46" t="s">
        <v>226</v>
      </c>
      <c r="N46" t="s">
        <v>183</v>
      </c>
    </row>
    <row r="47" spans="1:14" x14ac:dyDescent="0.45">
      <c r="A47">
        <v>46</v>
      </c>
      <c r="B47">
        <v>15</v>
      </c>
      <c r="C47" t="s">
        <v>73</v>
      </c>
      <c r="D47" t="s">
        <v>233</v>
      </c>
      <c r="E47">
        <v>2000</v>
      </c>
      <c r="F47" t="s">
        <v>88</v>
      </c>
      <c r="G47" t="s">
        <v>89</v>
      </c>
      <c r="H47" t="s">
        <v>218</v>
      </c>
      <c r="I47">
        <v>0</v>
      </c>
      <c r="J47">
        <v>359.44</v>
      </c>
      <c r="K47" t="s">
        <v>247</v>
      </c>
      <c r="L47" t="s">
        <v>226</v>
      </c>
      <c r="N47" t="s">
        <v>183</v>
      </c>
    </row>
    <row r="48" spans="1:14" x14ac:dyDescent="0.45">
      <c r="A48">
        <v>47</v>
      </c>
      <c r="B48">
        <v>16</v>
      </c>
      <c r="C48" t="s">
        <v>73</v>
      </c>
      <c r="D48" t="s">
        <v>230</v>
      </c>
      <c r="E48">
        <v>6050</v>
      </c>
      <c r="F48" t="s">
        <v>127</v>
      </c>
      <c r="G48" t="s">
        <v>117</v>
      </c>
      <c r="H48" t="s">
        <v>218</v>
      </c>
      <c r="I48">
        <v>899</v>
      </c>
      <c r="J48">
        <v>0</v>
      </c>
      <c r="K48" t="s">
        <v>248</v>
      </c>
      <c r="L48" t="s">
        <v>236</v>
      </c>
      <c r="N48" t="s">
        <v>183</v>
      </c>
    </row>
    <row r="49" spans="1:14" x14ac:dyDescent="0.45">
      <c r="A49">
        <v>48</v>
      </c>
      <c r="B49">
        <v>16</v>
      </c>
      <c r="C49" t="s">
        <v>73</v>
      </c>
      <c r="D49" t="s">
        <v>230</v>
      </c>
      <c r="E49">
        <v>1200</v>
      </c>
      <c r="F49" t="s">
        <v>82</v>
      </c>
      <c r="G49" t="s">
        <v>78</v>
      </c>
      <c r="H49" t="s">
        <v>218</v>
      </c>
      <c r="I49">
        <v>0</v>
      </c>
      <c r="J49">
        <v>899</v>
      </c>
      <c r="K49" t="s">
        <v>248</v>
      </c>
      <c r="L49" t="s">
        <v>236</v>
      </c>
      <c r="N49" t="s">
        <v>183</v>
      </c>
    </row>
    <row r="50" spans="1:14" x14ac:dyDescent="0.45">
      <c r="A50">
        <v>49</v>
      </c>
      <c r="B50">
        <v>17</v>
      </c>
      <c r="C50" t="s">
        <v>73</v>
      </c>
      <c r="D50" t="s">
        <v>237</v>
      </c>
      <c r="E50">
        <v>6060</v>
      </c>
      <c r="F50" t="s">
        <v>129</v>
      </c>
      <c r="G50" t="s">
        <v>117</v>
      </c>
      <c r="H50" t="s">
        <v>218</v>
      </c>
      <c r="I50">
        <v>1302</v>
      </c>
      <c r="J50">
        <v>0</v>
      </c>
      <c r="K50" t="s">
        <v>249</v>
      </c>
      <c r="L50" t="s">
        <v>232</v>
      </c>
      <c r="N50" t="s">
        <v>183</v>
      </c>
    </row>
    <row r="51" spans="1:14" x14ac:dyDescent="0.45">
      <c r="A51">
        <v>50</v>
      </c>
      <c r="B51">
        <v>17</v>
      </c>
      <c r="C51" t="s">
        <v>73</v>
      </c>
      <c r="D51" t="s">
        <v>237</v>
      </c>
      <c r="E51">
        <v>1000</v>
      </c>
      <c r="F51" t="s">
        <v>77</v>
      </c>
      <c r="G51" t="s">
        <v>78</v>
      </c>
      <c r="H51" t="s">
        <v>218</v>
      </c>
      <c r="I51">
        <v>0</v>
      </c>
      <c r="J51">
        <v>1302</v>
      </c>
      <c r="K51" t="s">
        <v>249</v>
      </c>
      <c r="L51" t="s">
        <v>232</v>
      </c>
      <c r="N51" t="s">
        <v>183</v>
      </c>
    </row>
    <row r="52" spans="1:14" x14ac:dyDescent="0.45">
      <c r="A52">
        <v>51</v>
      </c>
      <c r="B52">
        <v>18</v>
      </c>
      <c r="C52" t="s">
        <v>73</v>
      </c>
      <c r="D52" t="s">
        <v>239</v>
      </c>
      <c r="E52">
        <v>7000</v>
      </c>
      <c r="F52" t="s">
        <v>133</v>
      </c>
      <c r="G52" t="s">
        <v>117</v>
      </c>
      <c r="H52" t="s">
        <v>218</v>
      </c>
      <c r="I52">
        <v>682</v>
      </c>
      <c r="J52">
        <v>0</v>
      </c>
      <c r="K52" t="s">
        <v>250</v>
      </c>
      <c r="L52" t="s">
        <v>241</v>
      </c>
      <c r="N52" t="s">
        <v>183</v>
      </c>
    </row>
    <row r="53" spans="1:14" x14ac:dyDescent="0.45">
      <c r="A53">
        <v>52</v>
      </c>
      <c r="B53">
        <v>18</v>
      </c>
      <c r="C53" t="s">
        <v>73</v>
      </c>
      <c r="D53" t="s">
        <v>239</v>
      </c>
      <c r="E53">
        <v>1500</v>
      </c>
      <c r="F53" t="s">
        <v>86</v>
      </c>
      <c r="G53" t="s">
        <v>78</v>
      </c>
      <c r="H53" t="s">
        <v>218</v>
      </c>
      <c r="I53">
        <v>0</v>
      </c>
      <c r="J53">
        <v>682</v>
      </c>
      <c r="K53" t="s">
        <v>250</v>
      </c>
      <c r="L53" t="s">
        <v>241</v>
      </c>
      <c r="N53" t="s">
        <v>183</v>
      </c>
    </row>
    <row r="54" spans="1:14" x14ac:dyDescent="0.45">
      <c r="A54">
        <v>53</v>
      </c>
      <c r="B54">
        <v>19</v>
      </c>
      <c r="C54" t="s">
        <v>74</v>
      </c>
      <c r="D54" t="s">
        <v>217</v>
      </c>
      <c r="E54">
        <v>1100</v>
      </c>
      <c r="F54" t="s">
        <v>80</v>
      </c>
      <c r="G54" t="s">
        <v>78</v>
      </c>
      <c r="H54" t="s">
        <v>218</v>
      </c>
      <c r="I54">
        <v>56195.7</v>
      </c>
      <c r="J54">
        <v>0</v>
      </c>
      <c r="K54" t="s">
        <v>251</v>
      </c>
      <c r="L54" t="s">
        <v>220</v>
      </c>
      <c r="N54" t="s">
        <v>183</v>
      </c>
    </row>
    <row r="55" spans="1:14" x14ac:dyDescent="0.45">
      <c r="A55">
        <v>54</v>
      </c>
      <c r="B55">
        <v>19</v>
      </c>
      <c r="C55" t="s">
        <v>74</v>
      </c>
      <c r="D55" t="s">
        <v>217</v>
      </c>
      <c r="E55">
        <v>4010</v>
      </c>
      <c r="F55" t="s">
        <v>101</v>
      </c>
      <c r="G55" t="s">
        <v>99</v>
      </c>
      <c r="H55" t="s">
        <v>218</v>
      </c>
      <c r="I55">
        <v>0</v>
      </c>
      <c r="J55">
        <v>23602.19</v>
      </c>
      <c r="K55" t="s">
        <v>251</v>
      </c>
      <c r="L55" t="s">
        <v>220</v>
      </c>
      <c r="N55" t="s">
        <v>183</v>
      </c>
    </row>
    <row r="56" spans="1:14" x14ac:dyDescent="0.45">
      <c r="A56">
        <v>55</v>
      </c>
      <c r="B56">
        <v>19</v>
      </c>
      <c r="C56" t="s">
        <v>74</v>
      </c>
      <c r="D56" t="s">
        <v>217</v>
      </c>
      <c r="E56">
        <v>4020</v>
      </c>
      <c r="F56" t="s">
        <v>103</v>
      </c>
      <c r="G56" t="s">
        <v>99</v>
      </c>
      <c r="H56" t="s">
        <v>218</v>
      </c>
      <c r="I56">
        <v>0</v>
      </c>
      <c r="J56">
        <v>18544.580000000002</v>
      </c>
      <c r="K56" t="s">
        <v>251</v>
      </c>
      <c r="L56" t="s">
        <v>220</v>
      </c>
      <c r="N56" t="s">
        <v>183</v>
      </c>
    </row>
    <row r="57" spans="1:14" x14ac:dyDescent="0.45">
      <c r="A57">
        <v>56</v>
      </c>
      <c r="B57">
        <v>19</v>
      </c>
      <c r="C57" t="s">
        <v>74</v>
      </c>
      <c r="D57" t="s">
        <v>217</v>
      </c>
      <c r="E57">
        <v>4030</v>
      </c>
      <c r="F57" t="s">
        <v>105</v>
      </c>
      <c r="G57" t="s">
        <v>99</v>
      </c>
      <c r="H57" t="s">
        <v>218</v>
      </c>
      <c r="I57">
        <v>0</v>
      </c>
      <c r="J57">
        <v>14048.93</v>
      </c>
      <c r="K57" t="s">
        <v>251</v>
      </c>
      <c r="L57" t="s">
        <v>220</v>
      </c>
      <c r="N57" t="s">
        <v>183</v>
      </c>
    </row>
    <row r="58" spans="1:14" x14ac:dyDescent="0.45">
      <c r="A58">
        <v>57</v>
      </c>
      <c r="B58">
        <v>20</v>
      </c>
      <c r="C58" t="s">
        <v>74</v>
      </c>
      <c r="D58" t="s">
        <v>221</v>
      </c>
      <c r="E58">
        <v>1000</v>
      </c>
      <c r="F58" t="s">
        <v>77</v>
      </c>
      <c r="G58" t="s">
        <v>78</v>
      </c>
      <c r="H58" t="s">
        <v>218</v>
      </c>
      <c r="I58">
        <v>53262.26</v>
      </c>
      <c r="J58">
        <v>0</v>
      </c>
      <c r="K58" t="s">
        <v>252</v>
      </c>
      <c r="L58" t="s">
        <v>223</v>
      </c>
      <c r="N58" t="s">
        <v>183</v>
      </c>
    </row>
    <row r="59" spans="1:14" x14ac:dyDescent="0.45">
      <c r="A59">
        <v>58</v>
      </c>
      <c r="B59">
        <v>20</v>
      </c>
      <c r="C59" t="s">
        <v>74</v>
      </c>
      <c r="D59" t="s">
        <v>221</v>
      </c>
      <c r="E59">
        <v>1100</v>
      </c>
      <c r="F59" t="s">
        <v>80</v>
      </c>
      <c r="G59" t="s">
        <v>78</v>
      </c>
      <c r="H59" t="s">
        <v>218</v>
      </c>
      <c r="I59">
        <v>0</v>
      </c>
      <c r="J59">
        <v>53262.26</v>
      </c>
      <c r="K59" t="s">
        <v>252</v>
      </c>
      <c r="L59" t="s">
        <v>223</v>
      </c>
      <c r="N59" t="s">
        <v>183</v>
      </c>
    </row>
    <row r="60" spans="1:14" x14ac:dyDescent="0.45">
      <c r="A60">
        <v>59</v>
      </c>
      <c r="B60">
        <v>21</v>
      </c>
      <c r="C60" t="s">
        <v>74</v>
      </c>
      <c r="D60" t="s">
        <v>224</v>
      </c>
      <c r="E60">
        <v>5010</v>
      </c>
      <c r="F60" t="s">
        <v>112</v>
      </c>
      <c r="G60" t="s">
        <v>110</v>
      </c>
      <c r="H60" t="s">
        <v>218</v>
      </c>
      <c r="I60">
        <v>3191.55</v>
      </c>
      <c r="J60">
        <v>0</v>
      </c>
      <c r="K60" t="s">
        <v>253</v>
      </c>
      <c r="L60" t="s">
        <v>226</v>
      </c>
      <c r="N60" t="s">
        <v>183</v>
      </c>
    </row>
    <row r="61" spans="1:14" x14ac:dyDescent="0.45">
      <c r="A61">
        <v>60</v>
      </c>
      <c r="B61">
        <v>21</v>
      </c>
      <c r="C61" t="s">
        <v>74</v>
      </c>
      <c r="D61" t="s">
        <v>224</v>
      </c>
      <c r="E61">
        <v>5020</v>
      </c>
      <c r="F61" t="s">
        <v>114</v>
      </c>
      <c r="G61" t="s">
        <v>110</v>
      </c>
      <c r="H61" t="s">
        <v>218</v>
      </c>
      <c r="I61">
        <v>2611.27</v>
      </c>
      <c r="J61">
        <v>0</v>
      </c>
      <c r="K61" t="s">
        <v>253</v>
      </c>
      <c r="L61" t="s">
        <v>226</v>
      </c>
      <c r="N61" t="s">
        <v>183</v>
      </c>
    </row>
    <row r="62" spans="1:14" x14ac:dyDescent="0.45">
      <c r="A62">
        <v>61</v>
      </c>
      <c r="B62">
        <v>21</v>
      </c>
      <c r="C62" t="s">
        <v>74</v>
      </c>
      <c r="D62" t="s">
        <v>224</v>
      </c>
      <c r="E62">
        <v>1000</v>
      </c>
      <c r="F62" t="s">
        <v>77</v>
      </c>
      <c r="G62" t="s">
        <v>78</v>
      </c>
      <c r="H62" t="s">
        <v>218</v>
      </c>
      <c r="I62">
        <v>0</v>
      </c>
      <c r="J62">
        <v>4061.97</v>
      </c>
      <c r="K62" t="s">
        <v>253</v>
      </c>
      <c r="L62" t="s">
        <v>226</v>
      </c>
      <c r="N62" t="s">
        <v>183</v>
      </c>
    </row>
    <row r="63" spans="1:14" x14ac:dyDescent="0.45">
      <c r="A63">
        <v>62</v>
      </c>
      <c r="B63">
        <v>21</v>
      </c>
      <c r="C63" t="s">
        <v>74</v>
      </c>
      <c r="D63" t="s">
        <v>224</v>
      </c>
      <c r="E63">
        <v>2000</v>
      </c>
      <c r="F63" t="s">
        <v>88</v>
      </c>
      <c r="G63" t="s">
        <v>89</v>
      </c>
      <c r="H63" t="s">
        <v>218</v>
      </c>
      <c r="I63">
        <v>0</v>
      </c>
      <c r="J63">
        <v>1740.85</v>
      </c>
      <c r="K63" t="s">
        <v>253</v>
      </c>
      <c r="L63" t="s">
        <v>226</v>
      </c>
      <c r="N63" t="s">
        <v>183</v>
      </c>
    </row>
    <row r="64" spans="1:14" x14ac:dyDescent="0.45">
      <c r="A64">
        <v>63</v>
      </c>
      <c r="B64">
        <v>22</v>
      </c>
      <c r="C64" t="s">
        <v>74</v>
      </c>
      <c r="D64" t="s">
        <v>227</v>
      </c>
      <c r="E64">
        <v>6010</v>
      </c>
      <c r="F64" t="s">
        <v>119</v>
      </c>
      <c r="G64" t="s">
        <v>117</v>
      </c>
      <c r="H64" t="s">
        <v>218</v>
      </c>
      <c r="I64">
        <v>22550</v>
      </c>
      <c r="J64">
        <v>0</v>
      </c>
      <c r="K64" t="s">
        <v>254</v>
      </c>
      <c r="L64" t="s">
        <v>229</v>
      </c>
      <c r="N64" t="s">
        <v>183</v>
      </c>
    </row>
    <row r="65" spans="1:14" x14ac:dyDescent="0.45">
      <c r="A65">
        <v>64</v>
      </c>
      <c r="B65">
        <v>22</v>
      </c>
      <c r="C65" t="s">
        <v>74</v>
      </c>
      <c r="D65" t="s">
        <v>227</v>
      </c>
      <c r="E65">
        <v>6020</v>
      </c>
      <c r="F65" t="s">
        <v>121</v>
      </c>
      <c r="G65" t="s">
        <v>117</v>
      </c>
      <c r="H65" t="s">
        <v>218</v>
      </c>
      <c r="I65">
        <v>3157</v>
      </c>
      <c r="J65">
        <v>0</v>
      </c>
      <c r="K65" t="s">
        <v>254</v>
      </c>
      <c r="L65" t="s">
        <v>229</v>
      </c>
      <c r="N65" t="s">
        <v>183</v>
      </c>
    </row>
    <row r="66" spans="1:14" x14ac:dyDescent="0.45">
      <c r="A66">
        <v>65</v>
      </c>
      <c r="B66">
        <v>22</v>
      </c>
      <c r="C66" t="s">
        <v>74</v>
      </c>
      <c r="D66" t="s">
        <v>227</v>
      </c>
      <c r="E66">
        <v>1000</v>
      </c>
      <c r="F66" t="s">
        <v>77</v>
      </c>
      <c r="G66" t="s">
        <v>78</v>
      </c>
      <c r="H66" t="s">
        <v>218</v>
      </c>
      <c r="I66">
        <v>0</v>
      </c>
      <c r="J66">
        <v>23136.3</v>
      </c>
      <c r="K66" t="s">
        <v>254</v>
      </c>
      <c r="L66" t="s">
        <v>229</v>
      </c>
      <c r="N66" t="s">
        <v>183</v>
      </c>
    </row>
    <row r="67" spans="1:14" x14ac:dyDescent="0.45">
      <c r="A67">
        <v>66</v>
      </c>
      <c r="B67">
        <v>22</v>
      </c>
      <c r="C67" t="s">
        <v>74</v>
      </c>
      <c r="D67" t="s">
        <v>227</v>
      </c>
      <c r="E67">
        <v>2100</v>
      </c>
      <c r="F67" t="s">
        <v>91</v>
      </c>
      <c r="G67" t="s">
        <v>89</v>
      </c>
      <c r="H67" t="s">
        <v>218</v>
      </c>
      <c r="I67">
        <v>0</v>
      </c>
      <c r="J67">
        <v>2570.6999999999998</v>
      </c>
      <c r="K67" t="s">
        <v>254</v>
      </c>
      <c r="L67" t="s">
        <v>229</v>
      </c>
      <c r="N67" t="s">
        <v>183</v>
      </c>
    </row>
    <row r="68" spans="1:14" x14ac:dyDescent="0.45">
      <c r="A68">
        <v>67</v>
      </c>
      <c r="B68">
        <v>22</v>
      </c>
      <c r="C68" t="s">
        <v>74</v>
      </c>
      <c r="D68" t="s">
        <v>227</v>
      </c>
      <c r="E68">
        <v>2100</v>
      </c>
      <c r="F68" t="s">
        <v>91</v>
      </c>
      <c r="G68" t="s">
        <v>89</v>
      </c>
      <c r="H68" t="s">
        <v>218</v>
      </c>
      <c r="I68">
        <v>0</v>
      </c>
      <c r="J68">
        <v>0</v>
      </c>
      <c r="K68" t="s">
        <v>254</v>
      </c>
      <c r="L68" t="s">
        <v>229</v>
      </c>
      <c r="N68" t="s">
        <v>183</v>
      </c>
    </row>
    <row r="69" spans="1:14" x14ac:dyDescent="0.45">
      <c r="A69">
        <v>68</v>
      </c>
      <c r="B69">
        <v>23</v>
      </c>
      <c r="C69" t="s">
        <v>74</v>
      </c>
      <c r="D69" t="s">
        <v>230</v>
      </c>
      <c r="E69">
        <v>6030</v>
      </c>
      <c r="F69" t="s">
        <v>123</v>
      </c>
      <c r="G69" t="s">
        <v>117</v>
      </c>
      <c r="H69" t="s">
        <v>218</v>
      </c>
      <c r="I69">
        <v>3740</v>
      </c>
      <c r="J69">
        <v>0</v>
      </c>
      <c r="K69" t="s">
        <v>255</v>
      </c>
      <c r="L69" t="s">
        <v>232</v>
      </c>
      <c r="N69" t="s">
        <v>183</v>
      </c>
    </row>
    <row r="70" spans="1:14" x14ac:dyDescent="0.45">
      <c r="A70">
        <v>69</v>
      </c>
      <c r="B70">
        <v>23</v>
      </c>
      <c r="C70" t="s">
        <v>74</v>
      </c>
      <c r="D70" t="s">
        <v>230</v>
      </c>
      <c r="E70">
        <v>1000</v>
      </c>
      <c r="F70" t="s">
        <v>77</v>
      </c>
      <c r="G70" t="s">
        <v>78</v>
      </c>
      <c r="H70" t="s">
        <v>218</v>
      </c>
      <c r="I70">
        <v>0</v>
      </c>
      <c r="J70">
        <v>3740</v>
      </c>
      <c r="K70" t="s">
        <v>255</v>
      </c>
      <c r="L70" t="s">
        <v>232</v>
      </c>
      <c r="N70" t="s">
        <v>183</v>
      </c>
    </row>
    <row r="71" spans="1:14" x14ac:dyDescent="0.45">
      <c r="A71">
        <v>70</v>
      </c>
      <c r="B71">
        <v>24</v>
      </c>
      <c r="C71" t="s">
        <v>74</v>
      </c>
      <c r="D71" t="s">
        <v>233</v>
      </c>
      <c r="E71">
        <v>6040</v>
      </c>
      <c r="F71" t="s">
        <v>125</v>
      </c>
      <c r="G71" t="s">
        <v>117</v>
      </c>
      <c r="H71" t="s">
        <v>218</v>
      </c>
      <c r="I71">
        <v>1954.63</v>
      </c>
      <c r="J71">
        <v>0</v>
      </c>
      <c r="K71" t="s">
        <v>256</v>
      </c>
      <c r="L71" t="s">
        <v>226</v>
      </c>
      <c r="N71" t="s">
        <v>183</v>
      </c>
    </row>
    <row r="72" spans="1:14" x14ac:dyDescent="0.45">
      <c r="A72">
        <v>71</v>
      </c>
      <c r="B72">
        <v>24</v>
      </c>
      <c r="C72" t="s">
        <v>74</v>
      </c>
      <c r="D72" t="s">
        <v>233</v>
      </c>
      <c r="E72">
        <v>1000</v>
      </c>
      <c r="F72" t="s">
        <v>77</v>
      </c>
      <c r="G72" t="s">
        <v>78</v>
      </c>
      <c r="H72" t="s">
        <v>218</v>
      </c>
      <c r="I72">
        <v>0</v>
      </c>
      <c r="J72">
        <v>1563.7</v>
      </c>
      <c r="K72" t="s">
        <v>256</v>
      </c>
      <c r="L72" t="s">
        <v>226</v>
      </c>
      <c r="N72" t="s">
        <v>183</v>
      </c>
    </row>
    <row r="73" spans="1:14" x14ac:dyDescent="0.45">
      <c r="A73">
        <v>72</v>
      </c>
      <c r="B73">
        <v>24</v>
      </c>
      <c r="C73" t="s">
        <v>74</v>
      </c>
      <c r="D73" t="s">
        <v>233</v>
      </c>
      <c r="E73">
        <v>2000</v>
      </c>
      <c r="F73" t="s">
        <v>88</v>
      </c>
      <c r="G73" t="s">
        <v>89</v>
      </c>
      <c r="H73" t="s">
        <v>218</v>
      </c>
      <c r="I73">
        <v>0</v>
      </c>
      <c r="J73">
        <v>390.93</v>
      </c>
      <c r="K73" t="s">
        <v>256</v>
      </c>
      <c r="L73" t="s">
        <v>226</v>
      </c>
      <c r="N73" t="s">
        <v>183</v>
      </c>
    </row>
    <row r="74" spans="1:14" x14ac:dyDescent="0.45">
      <c r="A74">
        <v>73</v>
      </c>
      <c r="B74">
        <v>25</v>
      </c>
      <c r="C74" t="s">
        <v>74</v>
      </c>
      <c r="D74" t="s">
        <v>230</v>
      </c>
      <c r="E74">
        <v>6050</v>
      </c>
      <c r="F74" t="s">
        <v>127</v>
      </c>
      <c r="G74" t="s">
        <v>117</v>
      </c>
      <c r="H74" t="s">
        <v>218</v>
      </c>
      <c r="I74">
        <v>797.5</v>
      </c>
      <c r="J74">
        <v>0</v>
      </c>
      <c r="K74" t="s">
        <v>257</v>
      </c>
      <c r="L74" t="s">
        <v>236</v>
      </c>
      <c r="N74" t="s">
        <v>183</v>
      </c>
    </row>
    <row r="75" spans="1:14" x14ac:dyDescent="0.45">
      <c r="A75">
        <v>74</v>
      </c>
      <c r="B75">
        <v>25</v>
      </c>
      <c r="C75" t="s">
        <v>74</v>
      </c>
      <c r="D75" t="s">
        <v>230</v>
      </c>
      <c r="E75">
        <v>1200</v>
      </c>
      <c r="F75" t="s">
        <v>82</v>
      </c>
      <c r="G75" t="s">
        <v>78</v>
      </c>
      <c r="H75" t="s">
        <v>218</v>
      </c>
      <c r="I75">
        <v>0</v>
      </c>
      <c r="J75">
        <v>797.5</v>
      </c>
      <c r="K75" t="s">
        <v>257</v>
      </c>
      <c r="L75" t="s">
        <v>236</v>
      </c>
      <c r="N75" t="s">
        <v>183</v>
      </c>
    </row>
    <row r="76" spans="1:14" x14ac:dyDescent="0.45">
      <c r="A76">
        <v>75</v>
      </c>
      <c r="B76">
        <v>26</v>
      </c>
      <c r="C76" t="s">
        <v>74</v>
      </c>
      <c r="D76" t="s">
        <v>237</v>
      </c>
      <c r="E76">
        <v>6060</v>
      </c>
      <c r="F76" t="s">
        <v>129</v>
      </c>
      <c r="G76" t="s">
        <v>117</v>
      </c>
      <c r="H76" t="s">
        <v>218</v>
      </c>
      <c r="I76">
        <v>1155</v>
      </c>
      <c r="J76">
        <v>0</v>
      </c>
      <c r="K76" t="s">
        <v>258</v>
      </c>
      <c r="L76" t="s">
        <v>232</v>
      </c>
      <c r="N76" t="s">
        <v>183</v>
      </c>
    </row>
    <row r="77" spans="1:14" x14ac:dyDescent="0.45">
      <c r="A77">
        <v>76</v>
      </c>
      <c r="B77">
        <v>26</v>
      </c>
      <c r="C77" t="s">
        <v>74</v>
      </c>
      <c r="D77" t="s">
        <v>237</v>
      </c>
      <c r="E77">
        <v>1000</v>
      </c>
      <c r="F77" t="s">
        <v>77</v>
      </c>
      <c r="G77" t="s">
        <v>78</v>
      </c>
      <c r="H77" t="s">
        <v>218</v>
      </c>
      <c r="I77">
        <v>0</v>
      </c>
      <c r="J77">
        <v>1155</v>
      </c>
      <c r="K77" t="s">
        <v>258</v>
      </c>
      <c r="L77" t="s">
        <v>232</v>
      </c>
      <c r="N77" t="s">
        <v>183</v>
      </c>
    </row>
    <row r="78" spans="1:14" x14ac:dyDescent="0.45">
      <c r="A78">
        <v>77</v>
      </c>
      <c r="B78">
        <v>27</v>
      </c>
      <c r="C78" t="s">
        <v>74</v>
      </c>
      <c r="D78" t="s">
        <v>239</v>
      </c>
      <c r="E78">
        <v>7000</v>
      </c>
      <c r="F78" t="s">
        <v>133</v>
      </c>
      <c r="G78" t="s">
        <v>117</v>
      </c>
      <c r="H78" t="s">
        <v>218</v>
      </c>
      <c r="I78">
        <v>605</v>
      </c>
      <c r="J78">
        <v>0</v>
      </c>
      <c r="K78" t="s">
        <v>259</v>
      </c>
      <c r="L78" t="s">
        <v>241</v>
      </c>
      <c r="N78" t="s">
        <v>183</v>
      </c>
    </row>
    <row r="79" spans="1:14" x14ac:dyDescent="0.45">
      <c r="A79">
        <v>78</v>
      </c>
      <c r="B79">
        <v>27</v>
      </c>
      <c r="C79" t="s">
        <v>74</v>
      </c>
      <c r="D79" t="s">
        <v>239</v>
      </c>
      <c r="E79">
        <v>1500</v>
      </c>
      <c r="F79" t="s">
        <v>86</v>
      </c>
      <c r="G79" t="s">
        <v>78</v>
      </c>
      <c r="H79" t="s">
        <v>218</v>
      </c>
      <c r="I79">
        <v>0</v>
      </c>
      <c r="J79">
        <v>605</v>
      </c>
      <c r="K79" t="s">
        <v>259</v>
      </c>
      <c r="L79" t="s">
        <v>241</v>
      </c>
      <c r="N79" t="s">
        <v>183</v>
      </c>
    </row>
    <row r="80" spans="1:14" x14ac:dyDescent="0.45">
      <c r="A80">
        <v>79</v>
      </c>
      <c r="B80">
        <v>28</v>
      </c>
      <c r="C80" t="s">
        <v>72</v>
      </c>
      <c r="D80" t="s">
        <v>260</v>
      </c>
      <c r="E80">
        <v>1300</v>
      </c>
      <c r="F80" t="s">
        <v>84</v>
      </c>
      <c r="G80" t="s">
        <v>78</v>
      </c>
      <c r="H80" t="s">
        <v>261</v>
      </c>
      <c r="I80">
        <v>3224</v>
      </c>
      <c r="J80">
        <v>0</v>
      </c>
      <c r="K80" t="s">
        <v>262</v>
      </c>
      <c r="L80" t="s">
        <v>263</v>
      </c>
      <c r="M80" t="s">
        <v>73</v>
      </c>
      <c r="N80" t="s">
        <v>183</v>
      </c>
    </row>
    <row r="81" spans="1:14" x14ac:dyDescent="0.45">
      <c r="A81">
        <v>80</v>
      </c>
      <c r="B81">
        <v>28</v>
      </c>
      <c r="C81" t="s">
        <v>72</v>
      </c>
      <c r="D81" t="s">
        <v>260</v>
      </c>
      <c r="E81">
        <v>4090</v>
      </c>
      <c r="F81" t="s">
        <v>107</v>
      </c>
      <c r="G81" t="s">
        <v>99</v>
      </c>
      <c r="H81" t="s">
        <v>261</v>
      </c>
      <c r="I81">
        <v>0</v>
      </c>
      <c r="J81">
        <v>3224</v>
      </c>
      <c r="K81" t="s">
        <v>262</v>
      </c>
      <c r="L81" t="s">
        <v>263</v>
      </c>
      <c r="M81" t="s">
        <v>73</v>
      </c>
      <c r="N81" t="s">
        <v>183</v>
      </c>
    </row>
    <row r="82" spans="1:14" x14ac:dyDescent="0.45">
      <c r="A82">
        <v>81</v>
      </c>
      <c r="B82">
        <v>29</v>
      </c>
      <c r="C82" t="s">
        <v>73</v>
      </c>
      <c r="D82" t="s">
        <v>260</v>
      </c>
      <c r="E82">
        <v>6070</v>
      </c>
      <c r="F82" t="s">
        <v>131</v>
      </c>
      <c r="G82" t="s">
        <v>117</v>
      </c>
      <c r="H82" t="s">
        <v>261</v>
      </c>
      <c r="I82">
        <v>3224</v>
      </c>
      <c r="J82">
        <v>0</v>
      </c>
      <c r="K82" t="s">
        <v>264</v>
      </c>
      <c r="L82" t="s">
        <v>263</v>
      </c>
      <c r="M82" t="s">
        <v>72</v>
      </c>
      <c r="N82" t="s">
        <v>183</v>
      </c>
    </row>
    <row r="83" spans="1:14" x14ac:dyDescent="0.45">
      <c r="A83">
        <v>82</v>
      </c>
      <c r="B83">
        <v>29</v>
      </c>
      <c r="C83" t="s">
        <v>73</v>
      </c>
      <c r="D83" t="s">
        <v>260</v>
      </c>
      <c r="E83">
        <v>2200</v>
      </c>
      <c r="F83" t="s">
        <v>93</v>
      </c>
      <c r="G83" t="s">
        <v>89</v>
      </c>
      <c r="H83" t="s">
        <v>261</v>
      </c>
      <c r="I83">
        <v>0</v>
      </c>
      <c r="J83">
        <v>3224</v>
      </c>
      <c r="K83" t="s">
        <v>264</v>
      </c>
      <c r="L83" t="s">
        <v>263</v>
      </c>
      <c r="M83" t="s">
        <v>72</v>
      </c>
      <c r="N83" t="s">
        <v>183</v>
      </c>
    </row>
    <row r="84" spans="1:14" x14ac:dyDescent="0.45">
      <c r="A84">
        <v>83</v>
      </c>
      <c r="B84">
        <v>30</v>
      </c>
      <c r="C84" t="s">
        <v>72</v>
      </c>
      <c r="D84" t="s">
        <v>260</v>
      </c>
      <c r="E84">
        <v>1300</v>
      </c>
      <c r="F84" t="s">
        <v>84</v>
      </c>
      <c r="G84" t="s">
        <v>78</v>
      </c>
      <c r="H84" t="s">
        <v>261</v>
      </c>
      <c r="I84">
        <v>2860</v>
      </c>
      <c r="J84">
        <v>0</v>
      </c>
      <c r="K84" t="s">
        <v>265</v>
      </c>
      <c r="L84" t="s">
        <v>263</v>
      </c>
      <c r="M84" t="s">
        <v>74</v>
      </c>
      <c r="N84" t="s">
        <v>183</v>
      </c>
    </row>
    <row r="85" spans="1:14" x14ac:dyDescent="0.45">
      <c r="A85">
        <v>84</v>
      </c>
      <c r="B85">
        <v>30</v>
      </c>
      <c r="C85" t="s">
        <v>72</v>
      </c>
      <c r="D85" t="s">
        <v>260</v>
      </c>
      <c r="E85">
        <v>4090</v>
      </c>
      <c r="F85" t="s">
        <v>107</v>
      </c>
      <c r="G85" t="s">
        <v>99</v>
      </c>
      <c r="H85" t="s">
        <v>261</v>
      </c>
      <c r="I85">
        <v>0</v>
      </c>
      <c r="J85">
        <v>2860</v>
      </c>
      <c r="K85" t="s">
        <v>265</v>
      </c>
      <c r="L85" t="s">
        <v>263</v>
      </c>
      <c r="M85" t="s">
        <v>74</v>
      </c>
      <c r="N85" t="s">
        <v>183</v>
      </c>
    </row>
    <row r="86" spans="1:14" x14ac:dyDescent="0.45">
      <c r="A86">
        <v>85</v>
      </c>
      <c r="B86">
        <v>31</v>
      </c>
      <c r="C86" t="s">
        <v>74</v>
      </c>
      <c r="D86" t="s">
        <v>260</v>
      </c>
      <c r="E86">
        <v>6070</v>
      </c>
      <c r="F86" t="s">
        <v>131</v>
      </c>
      <c r="G86" t="s">
        <v>117</v>
      </c>
      <c r="H86" t="s">
        <v>261</v>
      </c>
      <c r="I86">
        <v>2860</v>
      </c>
      <c r="J86">
        <v>0</v>
      </c>
      <c r="K86" t="s">
        <v>264</v>
      </c>
      <c r="L86" t="s">
        <v>263</v>
      </c>
      <c r="M86" t="s">
        <v>72</v>
      </c>
      <c r="N86" t="s">
        <v>183</v>
      </c>
    </row>
    <row r="87" spans="1:14" x14ac:dyDescent="0.45">
      <c r="A87">
        <v>86</v>
      </c>
      <c r="B87">
        <v>31</v>
      </c>
      <c r="C87" t="s">
        <v>74</v>
      </c>
      <c r="D87" t="s">
        <v>260</v>
      </c>
      <c r="E87">
        <v>2200</v>
      </c>
      <c r="F87" t="s">
        <v>93</v>
      </c>
      <c r="G87" t="s">
        <v>89</v>
      </c>
      <c r="H87" t="s">
        <v>261</v>
      </c>
      <c r="I87">
        <v>0</v>
      </c>
      <c r="J87">
        <v>2860</v>
      </c>
      <c r="K87" t="s">
        <v>264</v>
      </c>
      <c r="L87" t="s">
        <v>263</v>
      </c>
      <c r="M87" t="s">
        <v>72</v>
      </c>
      <c r="N87" t="s">
        <v>183</v>
      </c>
    </row>
    <row r="88" spans="1:14" x14ac:dyDescent="0.45">
      <c r="A88">
        <v>87</v>
      </c>
      <c r="B88">
        <v>32</v>
      </c>
      <c r="C88" t="s">
        <v>72</v>
      </c>
      <c r="D88" t="s">
        <v>266</v>
      </c>
      <c r="E88">
        <v>1100</v>
      </c>
      <c r="F88" t="s">
        <v>80</v>
      </c>
      <c r="G88" t="s">
        <v>78</v>
      </c>
      <c r="H88" t="s">
        <v>218</v>
      </c>
      <c r="I88">
        <v>100782.2</v>
      </c>
      <c r="J88">
        <v>0</v>
      </c>
      <c r="K88" t="s">
        <v>267</v>
      </c>
      <c r="L88" t="s">
        <v>220</v>
      </c>
      <c r="N88" t="s">
        <v>184</v>
      </c>
    </row>
    <row r="89" spans="1:14" x14ac:dyDescent="0.45">
      <c r="A89">
        <v>88</v>
      </c>
      <c r="B89">
        <v>32</v>
      </c>
      <c r="C89" t="s">
        <v>72</v>
      </c>
      <c r="D89" t="s">
        <v>266</v>
      </c>
      <c r="E89">
        <v>4010</v>
      </c>
      <c r="F89" t="s">
        <v>101</v>
      </c>
      <c r="G89" t="s">
        <v>99</v>
      </c>
      <c r="H89" t="s">
        <v>218</v>
      </c>
      <c r="I89">
        <v>0</v>
      </c>
      <c r="J89">
        <v>42328.52</v>
      </c>
      <c r="K89" t="s">
        <v>267</v>
      </c>
      <c r="L89" t="s">
        <v>220</v>
      </c>
      <c r="N89" t="s">
        <v>184</v>
      </c>
    </row>
    <row r="90" spans="1:14" x14ac:dyDescent="0.45">
      <c r="A90">
        <v>89</v>
      </c>
      <c r="B90">
        <v>32</v>
      </c>
      <c r="C90" t="s">
        <v>72</v>
      </c>
      <c r="D90" t="s">
        <v>266</v>
      </c>
      <c r="E90">
        <v>4020</v>
      </c>
      <c r="F90" t="s">
        <v>103</v>
      </c>
      <c r="G90" t="s">
        <v>99</v>
      </c>
      <c r="H90" t="s">
        <v>218</v>
      </c>
      <c r="I90">
        <v>0</v>
      </c>
      <c r="J90">
        <v>33258.129999999997</v>
      </c>
      <c r="K90" t="s">
        <v>267</v>
      </c>
      <c r="L90" t="s">
        <v>220</v>
      </c>
      <c r="N90" t="s">
        <v>184</v>
      </c>
    </row>
    <row r="91" spans="1:14" x14ac:dyDescent="0.45">
      <c r="A91">
        <v>90</v>
      </c>
      <c r="B91">
        <v>32</v>
      </c>
      <c r="C91" t="s">
        <v>72</v>
      </c>
      <c r="D91" t="s">
        <v>266</v>
      </c>
      <c r="E91">
        <v>4030</v>
      </c>
      <c r="F91" t="s">
        <v>105</v>
      </c>
      <c r="G91" t="s">
        <v>99</v>
      </c>
      <c r="H91" t="s">
        <v>218</v>
      </c>
      <c r="I91">
        <v>0</v>
      </c>
      <c r="J91">
        <v>25195.55</v>
      </c>
      <c r="K91" t="s">
        <v>267</v>
      </c>
      <c r="L91" t="s">
        <v>220</v>
      </c>
      <c r="N91" t="s">
        <v>184</v>
      </c>
    </row>
    <row r="92" spans="1:14" x14ac:dyDescent="0.45">
      <c r="A92">
        <v>91</v>
      </c>
      <c r="B92">
        <v>33</v>
      </c>
      <c r="C92" t="s">
        <v>72</v>
      </c>
      <c r="D92" t="s">
        <v>268</v>
      </c>
      <c r="E92">
        <v>1000</v>
      </c>
      <c r="F92" t="s">
        <v>77</v>
      </c>
      <c r="G92" t="s">
        <v>78</v>
      </c>
      <c r="H92" t="s">
        <v>218</v>
      </c>
      <c r="I92">
        <v>94369</v>
      </c>
      <c r="J92">
        <v>0</v>
      </c>
      <c r="K92" t="s">
        <v>269</v>
      </c>
      <c r="L92" t="s">
        <v>223</v>
      </c>
      <c r="N92" t="s">
        <v>184</v>
      </c>
    </row>
    <row r="93" spans="1:14" x14ac:dyDescent="0.45">
      <c r="A93">
        <v>92</v>
      </c>
      <c r="B93">
        <v>33</v>
      </c>
      <c r="C93" t="s">
        <v>72</v>
      </c>
      <c r="D93" t="s">
        <v>268</v>
      </c>
      <c r="E93">
        <v>1100</v>
      </c>
      <c r="F93" t="s">
        <v>80</v>
      </c>
      <c r="G93" t="s">
        <v>78</v>
      </c>
      <c r="H93" t="s">
        <v>218</v>
      </c>
      <c r="I93">
        <v>0</v>
      </c>
      <c r="J93">
        <v>94369</v>
      </c>
      <c r="K93" t="s">
        <v>269</v>
      </c>
      <c r="L93" t="s">
        <v>223</v>
      </c>
      <c r="N93" t="s">
        <v>184</v>
      </c>
    </row>
    <row r="94" spans="1:14" x14ac:dyDescent="0.45">
      <c r="A94">
        <v>93</v>
      </c>
      <c r="B94">
        <v>34</v>
      </c>
      <c r="C94" t="s">
        <v>72</v>
      </c>
      <c r="D94" t="s">
        <v>270</v>
      </c>
      <c r="E94">
        <v>5010</v>
      </c>
      <c r="F94" t="s">
        <v>112</v>
      </c>
      <c r="G94" t="s">
        <v>110</v>
      </c>
      <c r="H94" t="s">
        <v>218</v>
      </c>
      <c r="I94">
        <v>5723.77</v>
      </c>
      <c r="J94">
        <v>0</v>
      </c>
      <c r="K94" t="s">
        <v>271</v>
      </c>
      <c r="L94" t="s">
        <v>226</v>
      </c>
      <c r="N94" t="s">
        <v>184</v>
      </c>
    </row>
    <row r="95" spans="1:14" x14ac:dyDescent="0.45">
      <c r="A95">
        <v>94</v>
      </c>
      <c r="B95">
        <v>34</v>
      </c>
      <c r="C95" t="s">
        <v>72</v>
      </c>
      <c r="D95" t="s">
        <v>270</v>
      </c>
      <c r="E95">
        <v>5020</v>
      </c>
      <c r="F95" t="s">
        <v>114</v>
      </c>
      <c r="G95" t="s">
        <v>110</v>
      </c>
      <c r="H95" t="s">
        <v>218</v>
      </c>
      <c r="I95">
        <v>4683.09</v>
      </c>
      <c r="J95">
        <v>0</v>
      </c>
      <c r="K95" t="s">
        <v>271</v>
      </c>
      <c r="L95" t="s">
        <v>226</v>
      </c>
      <c r="N95" t="s">
        <v>184</v>
      </c>
    </row>
    <row r="96" spans="1:14" x14ac:dyDescent="0.45">
      <c r="A96">
        <v>95</v>
      </c>
      <c r="B96">
        <v>34</v>
      </c>
      <c r="C96" t="s">
        <v>72</v>
      </c>
      <c r="D96" t="s">
        <v>270</v>
      </c>
      <c r="E96">
        <v>1000</v>
      </c>
      <c r="F96" t="s">
        <v>77</v>
      </c>
      <c r="G96" t="s">
        <v>78</v>
      </c>
      <c r="H96" t="s">
        <v>218</v>
      </c>
      <c r="I96">
        <v>0</v>
      </c>
      <c r="J96">
        <v>7284.8</v>
      </c>
      <c r="K96" t="s">
        <v>271</v>
      </c>
      <c r="L96" t="s">
        <v>226</v>
      </c>
      <c r="N96" t="s">
        <v>184</v>
      </c>
    </row>
    <row r="97" spans="1:14" x14ac:dyDescent="0.45">
      <c r="A97">
        <v>96</v>
      </c>
      <c r="B97">
        <v>34</v>
      </c>
      <c r="C97" t="s">
        <v>72</v>
      </c>
      <c r="D97" t="s">
        <v>270</v>
      </c>
      <c r="E97">
        <v>2000</v>
      </c>
      <c r="F97" t="s">
        <v>88</v>
      </c>
      <c r="G97" t="s">
        <v>89</v>
      </c>
      <c r="H97" t="s">
        <v>218</v>
      </c>
      <c r="I97">
        <v>0</v>
      </c>
      <c r="J97">
        <v>3122.06</v>
      </c>
      <c r="K97" t="s">
        <v>271</v>
      </c>
      <c r="L97" t="s">
        <v>226</v>
      </c>
      <c r="N97" t="s">
        <v>184</v>
      </c>
    </row>
    <row r="98" spans="1:14" x14ac:dyDescent="0.45">
      <c r="A98">
        <v>97</v>
      </c>
      <c r="B98">
        <v>35</v>
      </c>
      <c r="C98" t="s">
        <v>72</v>
      </c>
      <c r="D98" t="s">
        <v>272</v>
      </c>
      <c r="E98">
        <v>6010</v>
      </c>
      <c r="F98" t="s">
        <v>119</v>
      </c>
      <c r="G98" t="s">
        <v>117</v>
      </c>
      <c r="H98" t="s">
        <v>218</v>
      </c>
      <c r="I98">
        <v>41492</v>
      </c>
      <c r="J98">
        <v>0</v>
      </c>
      <c r="K98" t="s">
        <v>273</v>
      </c>
      <c r="L98" t="s">
        <v>229</v>
      </c>
      <c r="N98" t="s">
        <v>184</v>
      </c>
    </row>
    <row r="99" spans="1:14" x14ac:dyDescent="0.45">
      <c r="A99">
        <v>98</v>
      </c>
      <c r="B99">
        <v>35</v>
      </c>
      <c r="C99" t="s">
        <v>72</v>
      </c>
      <c r="D99" t="s">
        <v>272</v>
      </c>
      <c r="E99">
        <v>6020</v>
      </c>
      <c r="F99" t="s">
        <v>121</v>
      </c>
      <c r="G99" t="s">
        <v>117</v>
      </c>
      <c r="H99" t="s">
        <v>218</v>
      </c>
      <c r="I99">
        <v>5808.88</v>
      </c>
      <c r="J99">
        <v>0</v>
      </c>
      <c r="K99" t="s">
        <v>273</v>
      </c>
      <c r="L99" t="s">
        <v>229</v>
      </c>
      <c r="N99" t="s">
        <v>184</v>
      </c>
    </row>
    <row r="100" spans="1:14" x14ac:dyDescent="0.45">
      <c r="A100">
        <v>99</v>
      </c>
      <c r="B100">
        <v>35</v>
      </c>
      <c r="C100" t="s">
        <v>72</v>
      </c>
      <c r="D100" t="s">
        <v>272</v>
      </c>
      <c r="E100">
        <v>1000</v>
      </c>
      <c r="F100" t="s">
        <v>77</v>
      </c>
      <c r="G100" t="s">
        <v>78</v>
      </c>
      <c r="H100" t="s">
        <v>218</v>
      </c>
      <c r="I100">
        <v>0</v>
      </c>
      <c r="J100">
        <v>47244.79</v>
      </c>
      <c r="K100" t="s">
        <v>273</v>
      </c>
      <c r="L100" t="s">
        <v>229</v>
      </c>
      <c r="N100" t="s">
        <v>184</v>
      </c>
    </row>
    <row r="101" spans="1:14" x14ac:dyDescent="0.45">
      <c r="A101">
        <v>100</v>
      </c>
      <c r="B101">
        <v>35</v>
      </c>
      <c r="C101" t="s">
        <v>72</v>
      </c>
      <c r="D101" t="s">
        <v>272</v>
      </c>
      <c r="E101">
        <v>2100</v>
      </c>
      <c r="F101" t="s">
        <v>91</v>
      </c>
      <c r="G101" t="s">
        <v>89</v>
      </c>
      <c r="H101" t="s">
        <v>218</v>
      </c>
      <c r="I101">
        <v>0</v>
      </c>
      <c r="J101">
        <v>4730.09</v>
      </c>
      <c r="K101" t="s">
        <v>273</v>
      </c>
      <c r="L101" t="s">
        <v>229</v>
      </c>
      <c r="N101" t="s">
        <v>184</v>
      </c>
    </row>
    <row r="102" spans="1:14" x14ac:dyDescent="0.45">
      <c r="A102">
        <v>101</v>
      </c>
      <c r="B102">
        <v>35</v>
      </c>
      <c r="C102" t="s">
        <v>72</v>
      </c>
      <c r="D102" t="s">
        <v>272</v>
      </c>
      <c r="E102">
        <v>2100</v>
      </c>
      <c r="F102" t="s">
        <v>91</v>
      </c>
      <c r="G102" t="s">
        <v>89</v>
      </c>
      <c r="H102" t="s">
        <v>218</v>
      </c>
      <c r="I102">
        <v>4674</v>
      </c>
      <c r="J102">
        <v>0</v>
      </c>
      <c r="K102" t="s">
        <v>273</v>
      </c>
      <c r="L102" t="s">
        <v>229</v>
      </c>
      <c r="N102" t="s">
        <v>184</v>
      </c>
    </row>
    <row r="103" spans="1:14" x14ac:dyDescent="0.45">
      <c r="A103">
        <v>102</v>
      </c>
      <c r="B103">
        <v>36</v>
      </c>
      <c r="C103" t="s">
        <v>72</v>
      </c>
      <c r="D103" t="s">
        <v>274</v>
      </c>
      <c r="E103">
        <v>6030</v>
      </c>
      <c r="F103" t="s">
        <v>123</v>
      </c>
      <c r="G103" t="s">
        <v>117</v>
      </c>
      <c r="H103" t="s">
        <v>218</v>
      </c>
      <c r="I103">
        <v>6834</v>
      </c>
      <c r="J103">
        <v>0</v>
      </c>
      <c r="K103" t="s">
        <v>275</v>
      </c>
      <c r="L103" t="s">
        <v>232</v>
      </c>
      <c r="N103" t="s">
        <v>184</v>
      </c>
    </row>
    <row r="104" spans="1:14" x14ac:dyDescent="0.45">
      <c r="A104">
        <v>103</v>
      </c>
      <c r="B104">
        <v>36</v>
      </c>
      <c r="C104" t="s">
        <v>72</v>
      </c>
      <c r="D104" t="s">
        <v>274</v>
      </c>
      <c r="E104">
        <v>1000</v>
      </c>
      <c r="F104" t="s">
        <v>77</v>
      </c>
      <c r="G104" t="s">
        <v>78</v>
      </c>
      <c r="H104" t="s">
        <v>218</v>
      </c>
      <c r="I104">
        <v>0</v>
      </c>
      <c r="J104">
        <v>6834</v>
      </c>
      <c r="K104" t="s">
        <v>275</v>
      </c>
      <c r="L104" t="s">
        <v>232</v>
      </c>
      <c r="N104" t="s">
        <v>184</v>
      </c>
    </row>
    <row r="105" spans="1:14" x14ac:dyDescent="0.45">
      <c r="A105">
        <v>104</v>
      </c>
      <c r="B105">
        <v>37</v>
      </c>
      <c r="C105" t="s">
        <v>72</v>
      </c>
      <c r="D105" t="s">
        <v>276</v>
      </c>
      <c r="E105">
        <v>6040</v>
      </c>
      <c r="F105" t="s">
        <v>125</v>
      </c>
      <c r="G105" t="s">
        <v>117</v>
      </c>
      <c r="H105" t="s">
        <v>218</v>
      </c>
      <c r="I105">
        <v>3463.9</v>
      </c>
      <c r="J105">
        <v>0</v>
      </c>
      <c r="K105" t="s">
        <v>277</v>
      </c>
      <c r="L105" t="s">
        <v>226</v>
      </c>
      <c r="N105" t="s">
        <v>184</v>
      </c>
    </row>
    <row r="106" spans="1:14" x14ac:dyDescent="0.45">
      <c r="A106">
        <v>105</v>
      </c>
      <c r="B106">
        <v>37</v>
      </c>
      <c r="C106" t="s">
        <v>72</v>
      </c>
      <c r="D106" t="s">
        <v>276</v>
      </c>
      <c r="E106">
        <v>1000</v>
      </c>
      <c r="F106" t="s">
        <v>77</v>
      </c>
      <c r="G106" t="s">
        <v>78</v>
      </c>
      <c r="H106" t="s">
        <v>218</v>
      </c>
      <c r="I106">
        <v>0</v>
      </c>
      <c r="J106">
        <v>2771.12</v>
      </c>
      <c r="K106" t="s">
        <v>277</v>
      </c>
      <c r="L106" t="s">
        <v>226</v>
      </c>
      <c r="N106" t="s">
        <v>184</v>
      </c>
    </row>
    <row r="107" spans="1:14" x14ac:dyDescent="0.45">
      <c r="A107">
        <v>106</v>
      </c>
      <c r="B107">
        <v>37</v>
      </c>
      <c r="C107" t="s">
        <v>72</v>
      </c>
      <c r="D107" t="s">
        <v>276</v>
      </c>
      <c r="E107">
        <v>2000</v>
      </c>
      <c r="F107" t="s">
        <v>88</v>
      </c>
      <c r="G107" t="s">
        <v>89</v>
      </c>
      <c r="H107" t="s">
        <v>218</v>
      </c>
      <c r="I107">
        <v>0</v>
      </c>
      <c r="J107">
        <v>692.78</v>
      </c>
      <c r="K107" t="s">
        <v>277</v>
      </c>
      <c r="L107" t="s">
        <v>226</v>
      </c>
      <c r="N107" t="s">
        <v>184</v>
      </c>
    </row>
    <row r="108" spans="1:14" x14ac:dyDescent="0.45">
      <c r="A108">
        <v>107</v>
      </c>
      <c r="B108">
        <v>38</v>
      </c>
      <c r="C108" t="s">
        <v>72</v>
      </c>
      <c r="D108" t="s">
        <v>274</v>
      </c>
      <c r="E108">
        <v>6050</v>
      </c>
      <c r="F108" t="s">
        <v>127</v>
      </c>
      <c r="G108" t="s">
        <v>117</v>
      </c>
      <c r="H108" t="s">
        <v>218</v>
      </c>
      <c r="I108">
        <v>1450</v>
      </c>
      <c r="J108">
        <v>0</v>
      </c>
      <c r="K108" t="s">
        <v>278</v>
      </c>
      <c r="L108" t="s">
        <v>236</v>
      </c>
      <c r="N108" t="s">
        <v>184</v>
      </c>
    </row>
    <row r="109" spans="1:14" x14ac:dyDescent="0.45">
      <c r="A109">
        <v>108</v>
      </c>
      <c r="B109">
        <v>38</v>
      </c>
      <c r="C109" t="s">
        <v>72</v>
      </c>
      <c r="D109" t="s">
        <v>274</v>
      </c>
      <c r="E109">
        <v>1200</v>
      </c>
      <c r="F109" t="s">
        <v>82</v>
      </c>
      <c r="G109" t="s">
        <v>78</v>
      </c>
      <c r="H109" t="s">
        <v>218</v>
      </c>
      <c r="I109">
        <v>0</v>
      </c>
      <c r="J109">
        <v>1450</v>
      </c>
      <c r="K109" t="s">
        <v>278</v>
      </c>
      <c r="L109" t="s">
        <v>236</v>
      </c>
      <c r="N109" t="s">
        <v>184</v>
      </c>
    </row>
    <row r="110" spans="1:14" x14ac:dyDescent="0.45">
      <c r="A110">
        <v>109</v>
      </c>
      <c r="B110">
        <v>39</v>
      </c>
      <c r="C110" t="s">
        <v>72</v>
      </c>
      <c r="D110" t="s">
        <v>279</v>
      </c>
      <c r="E110">
        <v>6060</v>
      </c>
      <c r="F110" t="s">
        <v>129</v>
      </c>
      <c r="G110" t="s">
        <v>117</v>
      </c>
      <c r="H110" t="s">
        <v>218</v>
      </c>
      <c r="I110">
        <v>2121</v>
      </c>
      <c r="J110">
        <v>0</v>
      </c>
      <c r="K110" t="s">
        <v>280</v>
      </c>
      <c r="L110" t="s">
        <v>232</v>
      </c>
      <c r="N110" t="s">
        <v>184</v>
      </c>
    </row>
    <row r="111" spans="1:14" x14ac:dyDescent="0.45">
      <c r="A111">
        <v>110</v>
      </c>
      <c r="B111">
        <v>39</v>
      </c>
      <c r="C111" t="s">
        <v>72</v>
      </c>
      <c r="D111" t="s">
        <v>279</v>
      </c>
      <c r="E111">
        <v>1000</v>
      </c>
      <c r="F111" t="s">
        <v>77</v>
      </c>
      <c r="G111" t="s">
        <v>78</v>
      </c>
      <c r="H111" t="s">
        <v>218</v>
      </c>
      <c r="I111">
        <v>0</v>
      </c>
      <c r="J111">
        <v>2121</v>
      </c>
      <c r="K111" t="s">
        <v>280</v>
      </c>
      <c r="L111" t="s">
        <v>232</v>
      </c>
      <c r="N111" t="s">
        <v>184</v>
      </c>
    </row>
    <row r="112" spans="1:14" x14ac:dyDescent="0.45">
      <c r="A112">
        <v>111</v>
      </c>
      <c r="B112">
        <v>40</v>
      </c>
      <c r="C112" t="s">
        <v>72</v>
      </c>
      <c r="D112" t="s">
        <v>281</v>
      </c>
      <c r="E112">
        <v>7000</v>
      </c>
      <c r="F112" t="s">
        <v>133</v>
      </c>
      <c r="G112" t="s">
        <v>117</v>
      </c>
      <c r="H112" t="s">
        <v>218</v>
      </c>
      <c r="I112">
        <v>1100</v>
      </c>
      <c r="J112">
        <v>0</v>
      </c>
      <c r="K112" t="s">
        <v>282</v>
      </c>
      <c r="L112" t="s">
        <v>241</v>
      </c>
      <c r="N112" t="s">
        <v>184</v>
      </c>
    </row>
    <row r="113" spans="1:14" x14ac:dyDescent="0.45">
      <c r="A113">
        <v>112</v>
      </c>
      <c r="B113">
        <v>40</v>
      </c>
      <c r="C113" t="s">
        <v>72</v>
      </c>
      <c r="D113" t="s">
        <v>281</v>
      </c>
      <c r="E113">
        <v>1500</v>
      </c>
      <c r="F113" t="s">
        <v>86</v>
      </c>
      <c r="G113" t="s">
        <v>78</v>
      </c>
      <c r="H113" t="s">
        <v>218</v>
      </c>
      <c r="I113">
        <v>0</v>
      </c>
      <c r="J113">
        <v>1100</v>
      </c>
      <c r="K113" t="s">
        <v>282</v>
      </c>
      <c r="L113" t="s">
        <v>241</v>
      </c>
      <c r="N113" t="s">
        <v>184</v>
      </c>
    </row>
    <row r="114" spans="1:14" x14ac:dyDescent="0.45">
      <c r="A114">
        <v>113</v>
      </c>
      <c r="B114">
        <v>41</v>
      </c>
      <c r="C114" t="s">
        <v>72</v>
      </c>
      <c r="D114" t="s">
        <v>283</v>
      </c>
      <c r="E114">
        <v>2000</v>
      </c>
      <c r="F114" t="s">
        <v>88</v>
      </c>
      <c r="G114" t="s">
        <v>89</v>
      </c>
      <c r="H114" t="s">
        <v>218</v>
      </c>
      <c r="I114">
        <v>3631.95</v>
      </c>
      <c r="J114">
        <v>0</v>
      </c>
      <c r="K114" t="s">
        <v>284</v>
      </c>
      <c r="L114" t="s">
        <v>232</v>
      </c>
      <c r="N114" t="s">
        <v>184</v>
      </c>
    </row>
    <row r="115" spans="1:14" x14ac:dyDescent="0.45">
      <c r="A115">
        <v>114</v>
      </c>
      <c r="B115">
        <v>41</v>
      </c>
      <c r="C115" t="s">
        <v>72</v>
      </c>
      <c r="D115" t="s">
        <v>283</v>
      </c>
      <c r="E115">
        <v>1000</v>
      </c>
      <c r="F115" t="s">
        <v>77</v>
      </c>
      <c r="G115" t="s">
        <v>78</v>
      </c>
      <c r="H115" t="s">
        <v>218</v>
      </c>
      <c r="I115">
        <v>0</v>
      </c>
      <c r="J115">
        <v>3631.95</v>
      </c>
      <c r="K115" t="s">
        <v>284</v>
      </c>
      <c r="L115" t="s">
        <v>232</v>
      </c>
      <c r="N115" t="s">
        <v>184</v>
      </c>
    </row>
    <row r="116" spans="1:14" x14ac:dyDescent="0.45">
      <c r="A116">
        <v>115</v>
      </c>
      <c r="B116">
        <v>42</v>
      </c>
      <c r="C116" t="s">
        <v>73</v>
      </c>
      <c r="D116" t="s">
        <v>266</v>
      </c>
      <c r="E116">
        <v>1100</v>
      </c>
      <c r="F116" t="s">
        <v>80</v>
      </c>
      <c r="G116" t="s">
        <v>78</v>
      </c>
      <c r="H116" t="s">
        <v>218</v>
      </c>
      <c r="I116">
        <v>60024.83</v>
      </c>
      <c r="J116">
        <v>0</v>
      </c>
      <c r="K116" t="s">
        <v>285</v>
      </c>
      <c r="L116" t="s">
        <v>220</v>
      </c>
      <c r="N116" t="s">
        <v>184</v>
      </c>
    </row>
    <row r="117" spans="1:14" x14ac:dyDescent="0.45">
      <c r="A117">
        <v>116</v>
      </c>
      <c r="B117">
        <v>42</v>
      </c>
      <c r="C117" t="s">
        <v>73</v>
      </c>
      <c r="D117" t="s">
        <v>266</v>
      </c>
      <c r="E117">
        <v>4010</v>
      </c>
      <c r="F117" t="s">
        <v>101</v>
      </c>
      <c r="G117" t="s">
        <v>99</v>
      </c>
      <c r="H117" t="s">
        <v>218</v>
      </c>
      <c r="I117">
        <v>0</v>
      </c>
      <c r="J117">
        <v>25210.43</v>
      </c>
      <c r="K117" t="s">
        <v>285</v>
      </c>
      <c r="L117" t="s">
        <v>220</v>
      </c>
      <c r="N117" t="s">
        <v>184</v>
      </c>
    </row>
    <row r="118" spans="1:14" x14ac:dyDescent="0.45">
      <c r="A118">
        <v>117</v>
      </c>
      <c r="B118">
        <v>42</v>
      </c>
      <c r="C118" t="s">
        <v>73</v>
      </c>
      <c r="D118" t="s">
        <v>266</v>
      </c>
      <c r="E118">
        <v>4020</v>
      </c>
      <c r="F118" t="s">
        <v>103</v>
      </c>
      <c r="G118" t="s">
        <v>99</v>
      </c>
      <c r="H118" t="s">
        <v>218</v>
      </c>
      <c r="I118">
        <v>0</v>
      </c>
      <c r="J118">
        <v>19808.189999999999</v>
      </c>
      <c r="K118" t="s">
        <v>285</v>
      </c>
      <c r="L118" t="s">
        <v>220</v>
      </c>
      <c r="N118" t="s">
        <v>184</v>
      </c>
    </row>
    <row r="119" spans="1:14" x14ac:dyDescent="0.45">
      <c r="A119">
        <v>118</v>
      </c>
      <c r="B119">
        <v>42</v>
      </c>
      <c r="C119" t="s">
        <v>73</v>
      </c>
      <c r="D119" t="s">
        <v>266</v>
      </c>
      <c r="E119">
        <v>4030</v>
      </c>
      <c r="F119" t="s">
        <v>105</v>
      </c>
      <c r="G119" t="s">
        <v>99</v>
      </c>
      <c r="H119" t="s">
        <v>218</v>
      </c>
      <c r="I119">
        <v>0</v>
      </c>
      <c r="J119">
        <v>15006.21</v>
      </c>
      <c r="K119" t="s">
        <v>285</v>
      </c>
      <c r="L119" t="s">
        <v>220</v>
      </c>
      <c r="N119" t="s">
        <v>184</v>
      </c>
    </row>
    <row r="120" spans="1:14" x14ac:dyDescent="0.45">
      <c r="A120">
        <v>119</v>
      </c>
      <c r="B120">
        <v>43</v>
      </c>
      <c r="C120" t="s">
        <v>73</v>
      </c>
      <c r="D120" t="s">
        <v>268</v>
      </c>
      <c r="E120">
        <v>1000</v>
      </c>
      <c r="F120" t="s">
        <v>77</v>
      </c>
      <c r="G120" t="s">
        <v>78</v>
      </c>
      <c r="H120" t="s">
        <v>218</v>
      </c>
      <c r="I120">
        <v>54103.87</v>
      </c>
      <c r="J120">
        <v>0</v>
      </c>
      <c r="K120" t="s">
        <v>286</v>
      </c>
      <c r="L120" t="s">
        <v>223</v>
      </c>
      <c r="N120" t="s">
        <v>184</v>
      </c>
    </row>
    <row r="121" spans="1:14" x14ac:dyDescent="0.45">
      <c r="A121">
        <v>120</v>
      </c>
      <c r="B121">
        <v>43</v>
      </c>
      <c r="C121" t="s">
        <v>73</v>
      </c>
      <c r="D121" t="s">
        <v>268</v>
      </c>
      <c r="E121">
        <v>1100</v>
      </c>
      <c r="F121" t="s">
        <v>80</v>
      </c>
      <c r="G121" t="s">
        <v>78</v>
      </c>
      <c r="H121" t="s">
        <v>218</v>
      </c>
      <c r="I121">
        <v>0</v>
      </c>
      <c r="J121">
        <v>54103.87</v>
      </c>
      <c r="K121" t="s">
        <v>286</v>
      </c>
      <c r="L121" t="s">
        <v>223</v>
      </c>
      <c r="N121" t="s">
        <v>184</v>
      </c>
    </row>
    <row r="122" spans="1:14" x14ac:dyDescent="0.45">
      <c r="A122">
        <v>121</v>
      </c>
      <c r="B122">
        <v>44</v>
      </c>
      <c r="C122" t="s">
        <v>73</v>
      </c>
      <c r="D122" t="s">
        <v>270</v>
      </c>
      <c r="E122">
        <v>5010</v>
      </c>
      <c r="F122" t="s">
        <v>112</v>
      </c>
      <c r="G122" t="s">
        <v>110</v>
      </c>
      <c r="H122" t="s">
        <v>218</v>
      </c>
      <c r="I122">
        <v>3409.02</v>
      </c>
      <c r="J122">
        <v>0</v>
      </c>
      <c r="K122" t="s">
        <v>287</v>
      </c>
      <c r="L122" t="s">
        <v>226</v>
      </c>
      <c r="N122" t="s">
        <v>184</v>
      </c>
    </row>
    <row r="123" spans="1:14" x14ac:dyDescent="0.45">
      <c r="A123">
        <v>122</v>
      </c>
      <c r="B123">
        <v>44</v>
      </c>
      <c r="C123" t="s">
        <v>73</v>
      </c>
      <c r="D123" t="s">
        <v>270</v>
      </c>
      <c r="E123">
        <v>5020</v>
      </c>
      <c r="F123" t="s">
        <v>114</v>
      </c>
      <c r="G123" t="s">
        <v>110</v>
      </c>
      <c r="H123" t="s">
        <v>218</v>
      </c>
      <c r="I123">
        <v>2789.2</v>
      </c>
      <c r="J123">
        <v>0</v>
      </c>
      <c r="K123" t="s">
        <v>287</v>
      </c>
      <c r="L123" t="s">
        <v>226</v>
      </c>
      <c r="N123" t="s">
        <v>184</v>
      </c>
    </row>
    <row r="124" spans="1:14" x14ac:dyDescent="0.45">
      <c r="A124">
        <v>123</v>
      </c>
      <c r="B124">
        <v>44</v>
      </c>
      <c r="C124" t="s">
        <v>73</v>
      </c>
      <c r="D124" t="s">
        <v>270</v>
      </c>
      <c r="E124">
        <v>1000</v>
      </c>
      <c r="F124" t="s">
        <v>77</v>
      </c>
      <c r="G124" t="s">
        <v>78</v>
      </c>
      <c r="H124" t="s">
        <v>218</v>
      </c>
      <c r="I124">
        <v>0</v>
      </c>
      <c r="J124">
        <v>4338.75</v>
      </c>
      <c r="K124" t="s">
        <v>287</v>
      </c>
      <c r="L124" t="s">
        <v>226</v>
      </c>
      <c r="N124" t="s">
        <v>184</v>
      </c>
    </row>
    <row r="125" spans="1:14" x14ac:dyDescent="0.45">
      <c r="A125">
        <v>124</v>
      </c>
      <c r="B125">
        <v>44</v>
      </c>
      <c r="C125" t="s">
        <v>73</v>
      </c>
      <c r="D125" t="s">
        <v>270</v>
      </c>
      <c r="E125">
        <v>2000</v>
      </c>
      <c r="F125" t="s">
        <v>88</v>
      </c>
      <c r="G125" t="s">
        <v>89</v>
      </c>
      <c r="H125" t="s">
        <v>218</v>
      </c>
      <c r="I125">
        <v>0</v>
      </c>
      <c r="J125">
        <v>1859.47</v>
      </c>
      <c r="K125" t="s">
        <v>287</v>
      </c>
      <c r="L125" t="s">
        <v>226</v>
      </c>
      <c r="N125" t="s">
        <v>184</v>
      </c>
    </row>
    <row r="126" spans="1:14" x14ac:dyDescent="0.45">
      <c r="A126">
        <v>125</v>
      </c>
      <c r="B126">
        <v>45</v>
      </c>
      <c r="C126" t="s">
        <v>73</v>
      </c>
      <c r="D126" t="s">
        <v>272</v>
      </c>
      <c r="E126">
        <v>6010</v>
      </c>
      <c r="F126" t="s">
        <v>119</v>
      </c>
      <c r="G126" t="s">
        <v>117</v>
      </c>
      <c r="H126" t="s">
        <v>218</v>
      </c>
      <c r="I126">
        <v>25725.040000000001</v>
      </c>
      <c r="J126">
        <v>0</v>
      </c>
      <c r="K126" t="s">
        <v>288</v>
      </c>
      <c r="L126" t="s">
        <v>229</v>
      </c>
      <c r="N126" t="s">
        <v>184</v>
      </c>
    </row>
    <row r="127" spans="1:14" x14ac:dyDescent="0.45">
      <c r="A127">
        <v>126</v>
      </c>
      <c r="B127">
        <v>45</v>
      </c>
      <c r="C127" t="s">
        <v>73</v>
      </c>
      <c r="D127" t="s">
        <v>272</v>
      </c>
      <c r="E127">
        <v>6020</v>
      </c>
      <c r="F127" t="s">
        <v>121</v>
      </c>
      <c r="G127" t="s">
        <v>117</v>
      </c>
      <c r="H127" t="s">
        <v>218</v>
      </c>
      <c r="I127">
        <v>3601.51</v>
      </c>
      <c r="J127">
        <v>0</v>
      </c>
      <c r="K127" t="s">
        <v>288</v>
      </c>
      <c r="L127" t="s">
        <v>229</v>
      </c>
      <c r="N127" t="s">
        <v>184</v>
      </c>
    </row>
    <row r="128" spans="1:14" x14ac:dyDescent="0.45">
      <c r="A128">
        <v>127</v>
      </c>
      <c r="B128">
        <v>45</v>
      </c>
      <c r="C128" t="s">
        <v>73</v>
      </c>
      <c r="D128" t="s">
        <v>272</v>
      </c>
      <c r="E128">
        <v>1000</v>
      </c>
      <c r="F128" t="s">
        <v>77</v>
      </c>
      <c r="G128" t="s">
        <v>78</v>
      </c>
      <c r="H128" t="s">
        <v>218</v>
      </c>
      <c r="I128">
        <v>0</v>
      </c>
      <c r="J128">
        <v>29291.78</v>
      </c>
      <c r="K128" t="s">
        <v>288</v>
      </c>
      <c r="L128" t="s">
        <v>229</v>
      </c>
      <c r="N128" t="s">
        <v>184</v>
      </c>
    </row>
    <row r="129" spans="1:14" x14ac:dyDescent="0.45">
      <c r="A129">
        <v>128</v>
      </c>
      <c r="B129">
        <v>45</v>
      </c>
      <c r="C129" t="s">
        <v>73</v>
      </c>
      <c r="D129" t="s">
        <v>272</v>
      </c>
      <c r="E129">
        <v>2100</v>
      </c>
      <c r="F129" t="s">
        <v>91</v>
      </c>
      <c r="G129" t="s">
        <v>89</v>
      </c>
      <c r="H129" t="s">
        <v>218</v>
      </c>
      <c r="I129">
        <v>0</v>
      </c>
      <c r="J129">
        <v>2932.65</v>
      </c>
      <c r="K129" t="s">
        <v>288</v>
      </c>
      <c r="L129" t="s">
        <v>229</v>
      </c>
      <c r="N129" t="s">
        <v>184</v>
      </c>
    </row>
    <row r="130" spans="1:14" x14ac:dyDescent="0.45">
      <c r="A130">
        <v>129</v>
      </c>
      <c r="B130">
        <v>45</v>
      </c>
      <c r="C130" t="s">
        <v>73</v>
      </c>
      <c r="D130" t="s">
        <v>272</v>
      </c>
      <c r="E130">
        <v>2100</v>
      </c>
      <c r="F130" t="s">
        <v>91</v>
      </c>
      <c r="G130" t="s">
        <v>89</v>
      </c>
      <c r="H130" t="s">
        <v>218</v>
      </c>
      <c r="I130">
        <v>2897.88</v>
      </c>
      <c r="J130">
        <v>0</v>
      </c>
      <c r="K130" t="s">
        <v>288</v>
      </c>
      <c r="L130" t="s">
        <v>229</v>
      </c>
      <c r="N130" t="s">
        <v>184</v>
      </c>
    </row>
    <row r="131" spans="1:14" x14ac:dyDescent="0.45">
      <c r="A131">
        <v>130</v>
      </c>
      <c r="B131">
        <v>46</v>
      </c>
      <c r="C131" t="s">
        <v>73</v>
      </c>
      <c r="D131" t="s">
        <v>274</v>
      </c>
      <c r="E131">
        <v>6030</v>
      </c>
      <c r="F131" t="s">
        <v>123</v>
      </c>
      <c r="G131" t="s">
        <v>117</v>
      </c>
      <c r="H131" t="s">
        <v>218</v>
      </c>
      <c r="I131">
        <v>4237.08</v>
      </c>
      <c r="J131">
        <v>0</v>
      </c>
      <c r="K131" t="s">
        <v>289</v>
      </c>
      <c r="L131" t="s">
        <v>232</v>
      </c>
      <c r="N131" t="s">
        <v>184</v>
      </c>
    </row>
    <row r="132" spans="1:14" x14ac:dyDescent="0.45">
      <c r="A132">
        <v>131</v>
      </c>
      <c r="B132">
        <v>46</v>
      </c>
      <c r="C132" t="s">
        <v>73</v>
      </c>
      <c r="D132" t="s">
        <v>274</v>
      </c>
      <c r="E132">
        <v>1000</v>
      </c>
      <c r="F132" t="s">
        <v>77</v>
      </c>
      <c r="G132" t="s">
        <v>78</v>
      </c>
      <c r="H132" t="s">
        <v>218</v>
      </c>
      <c r="I132">
        <v>0</v>
      </c>
      <c r="J132">
        <v>4237.08</v>
      </c>
      <c r="K132" t="s">
        <v>289</v>
      </c>
      <c r="L132" t="s">
        <v>232</v>
      </c>
      <c r="N132" t="s">
        <v>184</v>
      </c>
    </row>
    <row r="133" spans="1:14" x14ac:dyDescent="0.45">
      <c r="A133">
        <v>132</v>
      </c>
      <c r="B133">
        <v>47</v>
      </c>
      <c r="C133" t="s">
        <v>73</v>
      </c>
      <c r="D133" t="s">
        <v>276</v>
      </c>
      <c r="E133">
        <v>6040</v>
      </c>
      <c r="F133" t="s">
        <v>125</v>
      </c>
      <c r="G133" t="s">
        <v>117</v>
      </c>
      <c r="H133" t="s">
        <v>218</v>
      </c>
      <c r="I133">
        <v>2063.06</v>
      </c>
      <c r="J133">
        <v>0</v>
      </c>
      <c r="K133" t="s">
        <v>290</v>
      </c>
      <c r="L133" t="s">
        <v>226</v>
      </c>
      <c r="N133" t="s">
        <v>184</v>
      </c>
    </row>
    <row r="134" spans="1:14" x14ac:dyDescent="0.45">
      <c r="A134">
        <v>133</v>
      </c>
      <c r="B134">
        <v>47</v>
      </c>
      <c r="C134" t="s">
        <v>73</v>
      </c>
      <c r="D134" t="s">
        <v>276</v>
      </c>
      <c r="E134">
        <v>1000</v>
      </c>
      <c r="F134" t="s">
        <v>77</v>
      </c>
      <c r="G134" t="s">
        <v>78</v>
      </c>
      <c r="H134" t="s">
        <v>218</v>
      </c>
      <c r="I134">
        <v>0</v>
      </c>
      <c r="J134">
        <v>1650.45</v>
      </c>
      <c r="K134" t="s">
        <v>290</v>
      </c>
      <c r="L134" t="s">
        <v>226</v>
      </c>
      <c r="N134" t="s">
        <v>184</v>
      </c>
    </row>
    <row r="135" spans="1:14" x14ac:dyDescent="0.45">
      <c r="A135">
        <v>134</v>
      </c>
      <c r="B135">
        <v>47</v>
      </c>
      <c r="C135" t="s">
        <v>73</v>
      </c>
      <c r="D135" t="s">
        <v>276</v>
      </c>
      <c r="E135">
        <v>2000</v>
      </c>
      <c r="F135" t="s">
        <v>88</v>
      </c>
      <c r="G135" t="s">
        <v>89</v>
      </c>
      <c r="H135" t="s">
        <v>218</v>
      </c>
      <c r="I135">
        <v>0</v>
      </c>
      <c r="J135">
        <v>412.61</v>
      </c>
      <c r="K135" t="s">
        <v>290</v>
      </c>
      <c r="L135" t="s">
        <v>226</v>
      </c>
      <c r="N135" t="s">
        <v>184</v>
      </c>
    </row>
    <row r="136" spans="1:14" x14ac:dyDescent="0.45">
      <c r="A136">
        <v>135</v>
      </c>
      <c r="B136">
        <v>48</v>
      </c>
      <c r="C136" t="s">
        <v>73</v>
      </c>
      <c r="D136" t="s">
        <v>274</v>
      </c>
      <c r="E136">
        <v>6050</v>
      </c>
      <c r="F136" t="s">
        <v>127</v>
      </c>
      <c r="G136" t="s">
        <v>117</v>
      </c>
      <c r="H136" t="s">
        <v>218</v>
      </c>
      <c r="I136">
        <v>899</v>
      </c>
      <c r="J136">
        <v>0</v>
      </c>
      <c r="K136" t="s">
        <v>291</v>
      </c>
      <c r="L136" t="s">
        <v>236</v>
      </c>
      <c r="N136" t="s">
        <v>184</v>
      </c>
    </row>
    <row r="137" spans="1:14" x14ac:dyDescent="0.45">
      <c r="A137">
        <v>136</v>
      </c>
      <c r="B137">
        <v>48</v>
      </c>
      <c r="C137" t="s">
        <v>73</v>
      </c>
      <c r="D137" t="s">
        <v>274</v>
      </c>
      <c r="E137">
        <v>1200</v>
      </c>
      <c r="F137" t="s">
        <v>82</v>
      </c>
      <c r="G137" t="s">
        <v>78</v>
      </c>
      <c r="H137" t="s">
        <v>218</v>
      </c>
      <c r="I137">
        <v>0</v>
      </c>
      <c r="J137">
        <v>899</v>
      </c>
      <c r="K137" t="s">
        <v>291</v>
      </c>
      <c r="L137" t="s">
        <v>236</v>
      </c>
      <c r="N137" t="s">
        <v>184</v>
      </c>
    </row>
    <row r="138" spans="1:14" x14ac:dyDescent="0.45">
      <c r="A138">
        <v>137</v>
      </c>
      <c r="B138">
        <v>49</v>
      </c>
      <c r="C138" t="s">
        <v>73</v>
      </c>
      <c r="D138" t="s">
        <v>279</v>
      </c>
      <c r="E138">
        <v>6060</v>
      </c>
      <c r="F138" t="s">
        <v>129</v>
      </c>
      <c r="G138" t="s">
        <v>117</v>
      </c>
      <c r="H138" t="s">
        <v>218</v>
      </c>
      <c r="I138">
        <v>1315.02</v>
      </c>
      <c r="J138">
        <v>0</v>
      </c>
      <c r="K138" t="s">
        <v>292</v>
      </c>
      <c r="L138" t="s">
        <v>232</v>
      </c>
      <c r="N138" t="s">
        <v>184</v>
      </c>
    </row>
    <row r="139" spans="1:14" x14ac:dyDescent="0.45">
      <c r="A139">
        <v>138</v>
      </c>
      <c r="B139">
        <v>49</v>
      </c>
      <c r="C139" t="s">
        <v>73</v>
      </c>
      <c r="D139" t="s">
        <v>279</v>
      </c>
      <c r="E139">
        <v>1000</v>
      </c>
      <c r="F139" t="s">
        <v>77</v>
      </c>
      <c r="G139" t="s">
        <v>78</v>
      </c>
      <c r="H139" t="s">
        <v>218</v>
      </c>
      <c r="I139">
        <v>0</v>
      </c>
      <c r="J139">
        <v>1315.02</v>
      </c>
      <c r="K139" t="s">
        <v>292</v>
      </c>
      <c r="L139" t="s">
        <v>232</v>
      </c>
      <c r="N139" t="s">
        <v>184</v>
      </c>
    </row>
    <row r="140" spans="1:14" x14ac:dyDescent="0.45">
      <c r="A140">
        <v>139</v>
      </c>
      <c r="B140">
        <v>50</v>
      </c>
      <c r="C140" t="s">
        <v>73</v>
      </c>
      <c r="D140" t="s">
        <v>281</v>
      </c>
      <c r="E140">
        <v>7000</v>
      </c>
      <c r="F140" t="s">
        <v>133</v>
      </c>
      <c r="G140" t="s">
        <v>117</v>
      </c>
      <c r="H140" t="s">
        <v>218</v>
      </c>
      <c r="I140">
        <v>682</v>
      </c>
      <c r="J140">
        <v>0</v>
      </c>
      <c r="K140" t="s">
        <v>293</v>
      </c>
      <c r="L140" t="s">
        <v>241</v>
      </c>
      <c r="N140" t="s">
        <v>184</v>
      </c>
    </row>
    <row r="141" spans="1:14" x14ac:dyDescent="0.45">
      <c r="A141">
        <v>140</v>
      </c>
      <c r="B141">
        <v>50</v>
      </c>
      <c r="C141" t="s">
        <v>73</v>
      </c>
      <c r="D141" t="s">
        <v>281</v>
      </c>
      <c r="E141">
        <v>1500</v>
      </c>
      <c r="F141" t="s">
        <v>86</v>
      </c>
      <c r="G141" t="s">
        <v>78</v>
      </c>
      <c r="H141" t="s">
        <v>218</v>
      </c>
      <c r="I141">
        <v>0</v>
      </c>
      <c r="J141">
        <v>682</v>
      </c>
      <c r="K141" t="s">
        <v>293</v>
      </c>
      <c r="L141" t="s">
        <v>241</v>
      </c>
      <c r="N141" t="s">
        <v>184</v>
      </c>
    </row>
    <row r="142" spans="1:14" x14ac:dyDescent="0.45">
      <c r="A142">
        <v>141</v>
      </c>
      <c r="B142">
        <v>51</v>
      </c>
      <c r="C142" t="s">
        <v>73</v>
      </c>
      <c r="D142" t="s">
        <v>283</v>
      </c>
      <c r="E142">
        <v>2000</v>
      </c>
      <c r="F142" t="s">
        <v>88</v>
      </c>
      <c r="G142" t="s">
        <v>89</v>
      </c>
      <c r="H142" t="s">
        <v>218</v>
      </c>
      <c r="I142">
        <v>1960.06</v>
      </c>
      <c r="J142">
        <v>0</v>
      </c>
      <c r="K142" t="s">
        <v>294</v>
      </c>
      <c r="L142" t="s">
        <v>232</v>
      </c>
      <c r="N142" t="s">
        <v>184</v>
      </c>
    </row>
    <row r="143" spans="1:14" x14ac:dyDescent="0.45">
      <c r="A143">
        <v>142</v>
      </c>
      <c r="B143">
        <v>51</v>
      </c>
      <c r="C143" t="s">
        <v>73</v>
      </c>
      <c r="D143" t="s">
        <v>283</v>
      </c>
      <c r="E143">
        <v>1000</v>
      </c>
      <c r="F143" t="s">
        <v>77</v>
      </c>
      <c r="G143" t="s">
        <v>78</v>
      </c>
      <c r="H143" t="s">
        <v>218</v>
      </c>
      <c r="I143">
        <v>0</v>
      </c>
      <c r="J143">
        <v>1960.06</v>
      </c>
      <c r="K143" t="s">
        <v>294</v>
      </c>
      <c r="L143" t="s">
        <v>232</v>
      </c>
      <c r="N143" t="s">
        <v>184</v>
      </c>
    </row>
    <row r="144" spans="1:14" x14ac:dyDescent="0.45">
      <c r="A144">
        <v>143</v>
      </c>
      <c r="B144">
        <v>52</v>
      </c>
      <c r="C144" t="s">
        <v>74</v>
      </c>
      <c r="D144" t="s">
        <v>266</v>
      </c>
      <c r="E144">
        <v>1100</v>
      </c>
      <c r="F144" t="s">
        <v>80</v>
      </c>
      <c r="G144" t="s">
        <v>78</v>
      </c>
      <c r="H144" t="s">
        <v>218</v>
      </c>
      <c r="I144">
        <v>57234.04</v>
      </c>
      <c r="J144">
        <v>0</v>
      </c>
      <c r="K144" t="s">
        <v>295</v>
      </c>
      <c r="L144" t="s">
        <v>220</v>
      </c>
      <c r="N144" t="s">
        <v>184</v>
      </c>
    </row>
    <row r="145" spans="1:14" x14ac:dyDescent="0.45">
      <c r="A145">
        <v>144</v>
      </c>
      <c r="B145">
        <v>52</v>
      </c>
      <c r="C145" t="s">
        <v>74</v>
      </c>
      <c r="D145" t="s">
        <v>266</v>
      </c>
      <c r="E145">
        <v>4010</v>
      </c>
      <c r="F145" t="s">
        <v>101</v>
      </c>
      <c r="G145" t="s">
        <v>99</v>
      </c>
      <c r="H145" t="s">
        <v>218</v>
      </c>
      <c r="I145">
        <v>0</v>
      </c>
      <c r="J145">
        <v>24038.3</v>
      </c>
      <c r="K145" t="s">
        <v>295</v>
      </c>
      <c r="L145" t="s">
        <v>220</v>
      </c>
      <c r="N145" t="s">
        <v>184</v>
      </c>
    </row>
    <row r="146" spans="1:14" x14ac:dyDescent="0.45">
      <c r="A146">
        <v>145</v>
      </c>
      <c r="B146">
        <v>52</v>
      </c>
      <c r="C146" t="s">
        <v>74</v>
      </c>
      <c r="D146" t="s">
        <v>266</v>
      </c>
      <c r="E146">
        <v>4020</v>
      </c>
      <c r="F146" t="s">
        <v>103</v>
      </c>
      <c r="G146" t="s">
        <v>99</v>
      </c>
      <c r="H146" t="s">
        <v>218</v>
      </c>
      <c r="I146">
        <v>0</v>
      </c>
      <c r="J146">
        <v>18887.23</v>
      </c>
      <c r="K146" t="s">
        <v>295</v>
      </c>
      <c r="L146" t="s">
        <v>220</v>
      </c>
      <c r="N146" t="s">
        <v>184</v>
      </c>
    </row>
    <row r="147" spans="1:14" x14ac:dyDescent="0.45">
      <c r="A147">
        <v>146</v>
      </c>
      <c r="B147">
        <v>52</v>
      </c>
      <c r="C147" t="s">
        <v>74</v>
      </c>
      <c r="D147" t="s">
        <v>266</v>
      </c>
      <c r="E147">
        <v>4030</v>
      </c>
      <c r="F147" t="s">
        <v>105</v>
      </c>
      <c r="G147" t="s">
        <v>99</v>
      </c>
      <c r="H147" t="s">
        <v>218</v>
      </c>
      <c r="I147">
        <v>0</v>
      </c>
      <c r="J147">
        <v>14308.51</v>
      </c>
      <c r="K147" t="s">
        <v>295</v>
      </c>
      <c r="L147" t="s">
        <v>220</v>
      </c>
      <c r="N147" t="s">
        <v>184</v>
      </c>
    </row>
    <row r="148" spans="1:14" x14ac:dyDescent="0.45">
      <c r="A148">
        <v>147</v>
      </c>
      <c r="B148">
        <v>53</v>
      </c>
      <c r="C148" t="s">
        <v>74</v>
      </c>
      <c r="D148" t="s">
        <v>268</v>
      </c>
      <c r="E148">
        <v>1000</v>
      </c>
      <c r="F148" t="s">
        <v>77</v>
      </c>
      <c r="G148" t="s">
        <v>78</v>
      </c>
      <c r="H148" t="s">
        <v>218</v>
      </c>
      <c r="I148">
        <v>54225.14</v>
      </c>
      <c r="J148">
        <v>0</v>
      </c>
      <c r="K148" t="s">
        <v>296</v>
      </c>
      <c r="L148" t="s">
        <v>223</v>
      </c>
      <c r="N148" t="s">
        <v>184</v>
      </c>
    </row>
    <row r="149" spans="1:14" x14ac:dyDescent="0.45">
      <c r="A149">
        <v>148</v>
      </c>
      <c r="B149">
        <v>53</v>
      </c>
      <c r="C149" t="s">
        <v>74</v>
      </c>
      <c r="D149" t="s">
        <v>268</v>
      </c>
      <c r="E149">
        <v>1100</v>
      </c>
      <c r="F149" t="s">
        <v>80</v>
      </c>
      <c r="G149" t="s">
        <v>78</v>
      </c>
      <c r="H149" t="s">
        <v>218</v>
      </c>
      <c r="I149">
        <v>0</v>
      </c>
      <c r="J149">
        <v>54225.14</v>
      </c>
      <c r="K149" t="s">
        <v>296</v>
      </c>
      <c r="L149" t="s">
        <v>223</v>
      </c>
      <c r="N149" t="s">
        <v>184</v>
      </c>
    </row>
    <row r="150" spans="1:14" x14ac:dyDescent="0.45">
      <c r="A150">
        <v>149</v>
      </c>
      <c r="B150">
        <v>54</v>
      </c>
      <c r="C150" t="s">
        <v>74</v>
      </c>
      <c r="D150" t="s">
        <v>270</v>
      </c>
      <c r="E150">
        <v>5010</v>
      </c>
      <c r="F150" t="s">
        <v>112</v>
      </c>
      <c r="G150" t="s">
        <v>110</v>
      </c>
      <c r="H150" t="s">
        <v>218</v>
      </c>
      <c r="I150">
        <v>3250.52</v>
      </c>
      <c r="J150">
        <v>0</v>
      </c>
      <c r="K150" t="s">
        <v>297</v>
      </c>
      <c r="L150" t="s">
        <v>226</v>
      </c>
      <c r="N150" t="s">
        <v>184</v>
      </c>
    </row>
    <row r="151" spans="1:14" x14ac:dyDescent="0.45">
      <c r="A151">
        <v>150</v>
      </c>
      <c r="B151">
        <v>54</v>
      </c>
      <c r="C151" t="s">
        <v>74</v>
      </c>
      <c r="D151" t="s">
        <v>270</v>
      </c>
      <c r="E151">
        <v>5020</v>
      </c>
      <c r="F151" t="s">
        <v>114</v>
      </c>
      <c r="G151" t="s">
        <v>110</v>
      </c>
      <c r="H151" t="s">
        <v>218</v>
      </c>
      <c r="I151">
        <v>2659.52</v>
      </c>
      <c r="J151">
        <v>0</v>
      </c>
      <c r="K151" t="s">
        <v>297</v>
      </c>
      <c r="L151" t="s">
        <v>226</v>
      </c>
      <c r="N151" t="s">
        <v>184</v>
      </c>
    </row>
    <row r="152" spans="1:14" x14ac:dyDescent="0.45">
      <c r="A152">
        <v>151</v>
      </c>
      <c r="B152">
        <v>54</v>
      </c>
      <c r="C152" t="s">
        <v>74</v>
      </c>
      <c r="D152" t="s">
        <v>270</v>
      </c>
      <c r="E152">
        <v>1000</v>
      </c>
      <c r="F152" t="s">
        <v>77</v>
      </c>
      <c r="G152" t="s">
        <v>78</v>
      </c>
      <c r="H152" t="s">
        <v>218</v>
      </c>
      <c r="I152">
        <v>0</v>
      </c>
      <c r="J152">
        <v>4137.03</v>
      </c>
      <c r="K152" t="s">
        <v>297</v>
      </c>
      <c r="L152" t="s">
        <v>226</v>
      </c>
      <c r="N152" t="s">
        <v>184</v>
      </c>
    </row>
    <row r="153" spans="1:14" x14ac:dyDescent="0.45">
      <c r="A153">
        <v>152</v>
      </c>
      <c r="B153">
        <v>54</v>
      </c>
      <c r="C153" t="s">
        <v>74</v>
      </c>
      <c r="D153" t="s">
        <v>270</v>
      </c>
      <c r="E153">
        <v>2000</v>
      </c>
      <c r="F153" t="s">
        <v>88</v>
      </c>
      <c r="G153" t="s">
        <v>89</v>
      </c>
      <c r="H153" t="s">
        <v>218</v>
      </c>
      <c r="I153">
        <v>0</v>
      </c>
      <c r="J153">
        <v>1773.01</v>
      </c>
      <c r="K153" t="s">
        <v>297</v>
      </c>
      <c r="L153" t="s">
        <v>226</v>
      </c>
      <c r="N153" t="s">
        <v>184</v>
      </c>
    </row>
    <row r="154" spans="1:14" x14ac:dyDescent="0.45">
      <c r="A154">
        <v>153</v>
      </c>
      <c r="B154">
        <v>55</v>
      </c>
      <c r="C154" t="s">
        <v>74</v>
      </c>
      <c r="D154" t="s">
        <v>272</v>
      </c>
      <c r="E154">
        <v>6010</v>
      </c>
      <c r="F154" t="s">
        <v>119</v>
      </c>
      <c r="G154" t="s">
        <v>117</v>
      </c>
      <c r="H154" t="s">
        <v>218</v>
      </c>
      <c r="I154">
        <v>22820.6</v>
      </c>
      <c r="J154">
        <v>0</v>
      </c>
      <c r="K154" t="s">
        <v>298</v>
      </c>
      <c r="L154" t="s">
        <v>229</v>
      </c>
      <c r="N154" t="s">
        <v>184</v>
      </c>
    </row>
    <row r="155" spans="1:14" x14ac:dyDescent="0.45">
      <c r="A155">
        <v>154</v>
      </c>
      <c r="B155">
        <v>55</v>
      </c>
      <c r="C155" t="s">
        <v>74</v>
      </c>
      <c r="D155" t="s">
        <v>272</v>
      </c>
      <c r="E155">
        <v>6020</v>
      </c>
      <c r="F155" t="s">
        <v>121</v>
      </c>
      <c r="G155" t="s">
        <v>117</v>
      </c>
      <c r="H155" t="s">
        <v>218</v>
      </c>
      <c r="I155">
        <v>3194.88</v>
      </c>
      <c r="J155">
        <v>0</v>
      </c>
      <c r="K155" t="s">
        <v>298</v>
      </c>
      <c r="L155" t="s">
        <v>229</v>
      </c>
      <c r="N155" t="s">
        <v>184</v>
      </c>
    </row>
    <row r="156" spans="1:14" x14ac:dyDescent="0.45">
      <c r="A156">
        <v>155</v>
      </c>
      <c r="B156">
        <v>55</v>
      </c>
      <c r="C156" t="s">
        <v>74</v>
      </c>
      <c r="D156" t="s">
        <v>272</v>
      </c>
      <c r="E156">
        <v>1000</v>
      </c>
      <c r="F156" t="s">
        <v>77</v>
      </c>
      <c r="G156" t="s">
        <v>78</v>
      </c>
      <c r="H156" t="s">
        <v>218</v>
      </c>
      <c r="I156">
        <v>0</v>
      </c>
      <c r="J156">
        <v>25984.63</v>
      </c>
      <c r="K156" t="s">
        <v>298</v>
      </c>
      <c r="L156" t="s">
        <v>229</v>
      </c>
      <c r="N156" t="s">
        <v>184</v>
      </c>
    </row>
    <row r="157" spans="1:14" x14ac:dyDescent="0.45">
      <c r="A157">
        <v>156</v>
      </c>
      <c r="B157">
        <v>55</v>
      </c>
      <c r="C157" t="s">
        <v>74</v>
      </c>
      <c r="D157" t="s">
        <v>272</v>
      </c>
      <c r="E157">
        <v>2100</v>
      </c>
      <c r="F157" t="s">
        <v>91</v>
      </c>
      <c r="G157" t="s">
        <v>89</v>
      </c>
      <c r="H157" t="s">
        <v>218</v>
      </c>
      <c r="I157">
        <v>0</v>
      </c>
      <c r="J157">
        <v>2601.5500000000002</v>
      </c>
      <c r="K157" t="s">
        <v>298</v>
      </c>
      <c r="L157" t="s">
        <v>229</v>
      </c>
      <c r="N157" t="s">
        <v>184</v>
      </c>
    </row>
    <row r="158" spans="1:14" x14ac:dyDescent="0.45">
      <c r="A158">
        <v>157</v>
      </c>
      <c r="B158">
        <v>55</v>
      </c>
      <c r="C158" t="s">
        <v>74</v>
      </c>
      <c r="D158" t="s">
        <v>272</v>
      </c>
      <c r="E158">
        <v>2100</v>
      </c>
      <c r="F158" t="s">
        <v>91</v>
      </c>
      <c r="G158" t="s">
        <v>89</v>
      </c>
      <c r="H158" t="s">
        <v>218</v>
      </c>
      <c r="I158">
        <v>2570.6999999999998</v>
      </c>
      <c r="J158">
        <v>0</v>
      </c>
      <c r="K158" t="s">
        <v>298</v>
      </c>
      <c r="L158" t="s">
        <v>229</v>
      </c>
      <c r="N158" t="s">
        <v>184</v>
      </c>
    </row>
    <row r="159" spans="1:14" x14ac:dyDescent="0.45">
      <c r="A159">
        <v>158</v>
      </c>
      <c r="B159">
        <v>56</v>
      </c>
      <c r="C159" t="s">
        <v>74</v>
      </c>
      <c r="D159" t="s">
        <v>274</v>
      </c>
      <c r="E159">
        <v>6030</v>
      </c>
      <c r="F159" t="s">
        <v>123</v>
      </c>
      <c r="G159" t="s">
        <v>117</v>
      </c>
      <c r="H159" t="s">
        <v>218</v>
      </c>
      <c r="I159">
        <v>3758.7</v>
      </c>
      <c r="J159">
        <v>0</v>
      </c>
      <c r="K159" t="s">
        <v>299</v>
      </c>
      <c r="L159" t="s">
        <v>232</v>
      </c>
      <c r="N159" t="s">
        <v>184</v>
      </c>
    </row>
    <row r="160" spans="1:14" x14ac:dyDescent="0.45">
      <c r="A160">
        <v>159</v>
      </c>
      <c r="B160">
        <v>56</v>
      </c>
      <c r="C160" t="s">
        <v>74</v>
      </c>
      <c r="D160" t="s">
        <v>274</v>
      </c>
      <c r="E160">
        <v>1000</v>
      </c>
      <c r="F160" t="s">
        <v>77</v>
      </c>
      <c r="G160" t="s">
        <v>78</v>
      </c>
      <c r="H160" t="s">
        <v>218</v>
      </c>
      <c r="I160">
        <v>0</v>
      </c>
      <c r="J160">
        <v>3758.7</v>
      </c>
      <c r="K160" t="s">
        <v>299</v>
      </c>
      <c r="L160" t="s">
        <v>232</v>
      </c>
      <c r="N160" t="s">
        <v>184</v>
      </c>
    </row>
    <row r="161" spans="1:14" x14ac:dyDescent="0.45">
      <c r="A161">
        <v>160</v>
      </c>
      <c r="B161">
        <v>57</v>
      </c>
      <c r="C161" t="s">
        <v>74</v>
      </c>
      <c r="D161" t="s">
        <v>276</v>
      </c>
      <c r="E161">
        <v>6040</v>
      </c>
      <c r="F161" t="s">
        <v>125</v>
      </c>
      <c r="G161" t="s">
        <v>117</v>
      </c>
      <c r="H161" t="s">
        <v>218</v>
      </c>
      <c r="I161">
        <v>1967.14</v>
      </c>
      <c r="J161">
        <v>0</v>
      </c>
      <c r="K161" t="s">
        <v>300</v>
      </c>
      <c r="L161" t="s">
        <v>226</v>
      </c>
      <c r="N161" t="s">
        <v>184</v>
      </c>
    </row>
    <row r="162" spans="1:14" x14ac:dyDescent="0.45">
      <c r="A162">
        <v>161</v>
      </c>
      <c r="B162">
        <v>57</v>
      </c>
      <c r="C162" t="s">
        <v>74</v>
      </c>
      <c r="D162" t="s">
        <v>276</v>
      </c>
      <c r="E162">
        <v>1000</v>
      </c>
      <c r="F162" t="s">
        <v>77</v>
      </c>
      <c r="G162" t="s">
        <v>78</v>
      </c>
      <c r="H162" t="s">
        <v>218</v>
      </c>
      <c r="I162">
        <v>0</v>
      </c>
      <c r="J162">
        <v>1573.71</v>
      </c>
      <c r="K162" t="s">
        <v>300</v>
      </c>
      <c r="L162" t="s">
        <v>226</v>
      </c>
      <c r="N162" t="s">
        <v>184</v>
      </c>
    </row>
    <row r="163" spans="1:14" x14ac:dyDescent="0.45">
      <c r="A163">
        <v>162</v>
      </c>
      <c r="B163">
        <v>57</v>
      </c>
      <c r="C163" t="s">
        <v>74</v>
      </c>
      <c r="D163" t="s">
        <v>276</v>
      </c>
      <c r="E163">
        <v>2000</v>
      </c>
      <c r="F163" t="s">
        <v>88</v>
      </c>
      <c r="G163" t="s">
        <v>89</v>
      </c>
      <c r="H163" t="s">
        <v>218</v>
      </c>
      <c r="I163">
        <v>0</v>
      </c>
      <c r="J163">
        <v>393.43</v>
      </c>
      <c r="K163" t="s">
        <v>300</v>
      </c>
      <c r="L163" t="s">
        <v>226</v>
      </c>
      <c r="N163" t="s">
        <v>184</v>
      </c>
    </row>
    <row r="164" spans="1:14" x14ac:dyDescent="0.45">
      <c r="A164">
        <v>163</v>
      </c>
      <c r="B164">
        <v>58</v>
      </c>
      <c r="C164" t="s">
        <v>74</v>
      </c>
      <c r="D164" t="s">
        <v>274</v>
      </c>
      <c r="E164">
        <v>6050</v>
      </c>
      <c r="F164" t="s">
        <v>127</v>
      </c>
      <c r="G164" t="s">
        <v>117</v>
      </c>
      <c r="H164" t="s">
        <v>218</v>
      </c>
      <c r="I164">
        <v>797.5</v>
      </c>
      <c r="J164">
        <v>0</v>
      </c>
      <c r="K164" t="s">
        <v>301</v>
      </c>
      <c r="L164" t="s">
        <v>236</v>
      </c>
      <c r="N164" t="s">
        <v>184</v>
      </c>
    </row>
    <row r="165" spans="1:14" x14ac:dyDescent="0.45">
      <c r="A165">
        <v>164</v>
      </c>
      <c r="B165">
        <v>58</v>
      </c>
      <c r="C165" t="s">
        <v>74</v>
      </c>
      <c r="D165" t="s">
        <v>274</v>
      </c>
      <c r="E165">
        <v>1200</v>
      </c>
      <c r="F165" t="s">
        <v>82</v>
      </c>
      <c r="G165" t="s">
        <v>78</v>
      </c>
      <c r="H165" t="s">
        <v>218</v>
      </c>
      <c r="I165">
        <v>0</v>
      </c>
      <c r="J165">
        <v>797.5</v>
      </c>
      <c r="K165" t="s">
        <v>301</v>
      </c>
      <c r="L165" t="s">
        <v>236</v>
      </c>
      <c r="N165" t="s">
        <v>184</v>
      </c>
    </row>
    <row r="166" spans="1:14" x14ac:dyDescent="0.45">
      <c r="A166">
        <v>165</v>
      </c>
      <c r="B166">
        <v>59</v>
      </c>
      <c r="C166" t="s">
        <v>74</v>
      </c>
      <c r="D166" t="s">
        <v>279</v>
      </c>
      <c r="E166">
        <v>6060</v>
      </c>
      <c r="F166" t="s">
        <v>129</v>
      </c>
      <c r="G166" t="s">
        <v>117</v>
      </c>
      <c r="H166" t="s">
        <v>218</v>
      </c>
      <c r="I166">
        <v>1166.55</v>
      </c>
      <c r="J166">
        <v>0</v>
      </c>
      <c r="K166" t="s">
        <v>302</v>
      </c>
      <c r="L166" t="s">
        <v>232</v>
      </c>
      <c r="N166" t="s">
        <v>184</v>
      </c>
    </row>
    <row r="167" spans="1:14" x14ac:dyDescent="0.45">
      <c r="A167">
        <v>166</v>
      </c>
      <c r="B167">
        <v>59</v>
      </c>
      <c r="C167" t="s">
        <v>74</v>
      </c>
      <c r="D167" t="s">
        <v>279</v>
      </c>
      <c r="E167">
        <v>1000</v>
      </c>
      <c r="F167" t="s">
        <v>77</v>
      </c>
      <c r="G167" t="s">
        <v>78</v>
      </c>
      <c r="H167" t="s">
        <v>218</v>
      </c>
      <c r="I167">
        <v>0</v>
      </c>
      <c r="J167">
        <v>1166.55</v>
      </c>
      <c r="K167" t="s">
        <v>302</v>
      </c>
      <c r="L167" t="s">
        <v>232</v>
      </c>
      <c r="N167" t="s">
        <v>184</v>
      </c>
    </row>
    <row r="168" spans="1:14" x14ac:dyDescent="0.45">
      <c r="A168">
        <v>167</v>
      </c>
      <c r="B168">
        <v>60</v>
      </c>
      <c r="C168" t="s">
        <v>74</v>
      </c>
      <c r="D168" t="s">
        <v>281</v>
      </c>
      <c r="E168">
        <v>7000</v>
      </c>
      <c r="F168" t="s">
        <v>133</v>
      </c>
      <c r="G168" t="s">
        <v>117</v>
      </c>
      <c r="H168" t="s">
        <v>218</v>
      </c>
      <c r="I168">
        <v>605</v>
      </c>
      <c r="J168">
        <v>0</v>
      </c>
      <c r="K168" t="s">
        <v>303</v>
      </c>
      <c r="L168" t="s">
        <v>241</v>
      </c>
      <c r="N168" t="s">
        <v>184</v>
      </c>
    </row>
    <row r="169" spans="1:14" x14ac:dyDescent="0.45">
      <c r="A169">
        <v>168</v>
      </c>
      <c r="B169">
        <v>60</v>
      </c>
      <c r="C169" t="s">
        <v>74</v>
      </c>
      <c r="D169" t="s">
        <v>281</v>
      </c>
      <c r="E169">
        <v>1500</v>
      </c>
      <c r="F169" t="s">
        <v>86</v>
      </c>
      <c r="G169" t="s">
        <v>78</v>
      </c>
      <c r="H169" t="s">
        <v>218</v>
      </c>
      <c r="I169">
        <v>0</v>
      </c>
      <c r="J169">
        <v>605</v>
      </c>
      <c r="K169" t="s">
        <v>303</v>
      </c>
      <c r="L169" t="s">
        <v>241</v>
      </c>
      <c r="N169" t="s">
        <v>184</v>
      </c>
    </row>
    <row r="170" spans="1:14" x14ac:dyDescent="0.45">
      <c r="A170">
        <v>169</v>
      </c>
      <c r="B170">
        <v>61</v>
      </c>
      <c r="C170" t="s">
        <v>74</v>
      </c>
      <c r="D170" t="s">
        <v>283</v>
      </c>
      <c r="E170">
        <v>2000</v>
      </c>
      <c r="F170" t="s">
        <v>88</v>
      </c>
      <c r="G170" t="s">
        <v>89</v>
      </c>
      <c r="H170" t="s">
        <v>218</v>
      </c>
      <c r="I170">
        <v>2131.7800000000002</v>
      </c>
      <c r="J170">
        <v>0</v>
      </c>
      <c r="K170" t="s">
        <v>304</v>
      </c>
      <c r="L170" t="s">
        <v>232</v>
      </c>
      <c r="N170" t="s">
        <v>184</v>
      </c>
    </row>
    <row r="171" spans="1:14" x14ac:dyDescent="0.45">
      <c r="A171">
        <v>170</v>
      </c>
      <c r="B171">
        <v>61</v>
      </c>
      <c r="C171" t="s">
        <v>74</v>
      </c>
      <c r="D171" t="s">
        <v>283</v>
      </c>
      <c r="E171">
        <v>1000</v>
      </c>
      <c r="F171" t="s">
        <v>77</v>
      </c>
      <c r="G171" t="s">
        <v>78</v>
      </c>
      <c r="H171" t="s">
        <v>218</v>
      </c>
      <c r="I171">
        <v>0</v>
      </c>
      <c r="J171">
        <v>2131.7800000000002</v>
      </c>
      <c r="K171" t="s">
        <v>304</v>
      </c>
      <c r="L171" t="s">
        <v>232</v>
      </c>
      <c r="N171" t="s">
        <v>184</v>
      </c>
    </row>
    <row r="172" spans="1:14" x14ac:dyDescent="0.45">
      <c r="A172">
        <v>171</v>
      </c>
      <c r="B172">
        <v>62</v>
      </c>
      <c r="C172" t="s">
        <v>72</v>
      </c>
      <c r="D172" t="s">
        <v>305</v>
      </c>
      <c r="E172">
        <v>1300</v>
      </c>
      <c r="F172" t="s">
        <v>84</v>
      </c>
      <c r="G172" t="s">
        <v>78</v>
      </c>
      <c r="H172" t="s">
        <v>261</v>
      </c>
      <c r="I172">
        <v>3256.24</v>
      </c>
      <c r="J172">
        <v>0</v>
      </c>
      <c r="K172" t="s">
        <v>306</v>
      </c>
      <c r="L172" t="s">
        <v>263</v>
      </c>
      <c r="M172" t="s">
        <v>73</v>
      </c>
      <c r="N172" t="s">
        <v>184</v>
      </c>
    </row>
    <row r="173" spans="1:14" x14ac:dyDescent="0.45">
      <c r="A173">
        <v>172</v>
      </c>
      <c r="B173">
        <v>62</v>
      </c>
      <c r="C173" t="s">
        <v>72</v>
      </c>
      <c r="D173" t="s">
        <v>305</v>
      </c>
      <c r="E173">
        <v>4090</v>
      </c>
      <c r="F173" t="s">
        <v>107</v>
      </c>
      <c r="G173" t="s">
        <v>99</v>
      </c>
      <c r="H173" t="s">
        <v>261</v>
      </c>
      <c r="I173">
        <v>0</v>
      </c>
      <c r="J173">
        <v>3256.24</v>
      </c>
      <c r="K173" t="s">
        <v>306</v>
      </c>
      <c r="L173" t="s">
        <v>263</v>
      </c>
      <c r="M173" t="s">
        <v>73</v>
      </c>
      <c r="N173" t="s">
        <v>184</v>
      </c>
    </row>
    <row r="174" spans="1:14" x14ac:dyDescent="0.45">
      <c r="A174">
        <v>173</v>
      </c>
      <c r="B174">
        <v>63</v>
      </c>
      <c r="C174" t="s">
        <v>73</v>
      </c>
      <c r="D174" t="s">
        <v>305</v>
      </c>
      <c r="E174">
        <v>6070</v>
      </c>
      <c r="F174" t="s">
        <v>131</v>
      </c>
      <c r="G174" t="s">
        <v>117</v>
      </c>
      <c r="H174" t="s">
        <v>261</v>
      </c>
      <c r="I174">
        <v>3256.24</v>
      </c>
      <c r="J174">
        <v>0</v>
      </c>
      <c r="K174" t="s">
        <v>307</v>
      </c>
      <c r="L174" t="s">
        <v>263</v>
      </c>
      <c r="M174" t="s">
        <v>72</v>
      </c>
      <c r="N174" t="s">
        <v>184</v>
      </c>
    </row>
    <row r="175" spans="1:14" x14ac:dyDescent="0.45">
      <c r="A175">
        <v>174</v>
      </c>
      <c r="B175">
        <v>63</v>
      </c>
      <c r="C175" t="s">
        <v>73</v>
      </c>
      <c r="D175" t="s">
        <v>305</v>
      </c>
      <c r="E175">
        <v>2200</v>
      </c>
      <c r="F175" t="s">
        <v>93</v>
      </c>
      <c r="G175" t="s">
        <v>89</v>
      </c>
      <c r="H175" t="s">
        <v>261</v>
      </c>
      <c r="I175">
        <v>0</v>
      </c>
      <c r="J175">
        <v>3256.24</v>
      </c>
      <c r="K175" t="s">
        <v>307</v>
      </c>
      <c r="L175" t="s">
        <v>263</v>
      </c>
      <c r="M175" t="s">
        <v>72</v>
      </c>
      <c r="N175" t="s">
        <v>184</v>
      </c>
    </row>
    <row r="176" spans="1:14" x14ac:dyDescent="0.45">
      <c r="A176">
        <v>175</v>
      </c>
      <c r="B176">
        <v>64</v>
      </c>
      <c r="C176" t="s">
        <v>73</v>
      </c>
      <c r="D176" t="s">
        <v>268</v>
      </c>
      <c r="E176">
        <v>2200</v>
      </c>
      <c r="F176" t="s">
        <v>93</v>
      </c>
      <c r="G176" t="s">
        <v>89</v>
      </c>
      <c r="H176" t="s">
        <v>261</v>
      </c>
      <c r="I176">
        <v>3224</v>
      </c>
      <c r="J176">
        <v>0</v>
      </c>
      <c r="K176" t="s">
        <v>308</v>
      </c>
      <c r="L176" t="s">
        <v>309</v>
      </c>
      <c r="M176" t="s">
        <v>72</v>
      </c>
      <c r="N176" t="s">
        <v>184</v>
      </c>
    </row>
    <row r="177" spans="1:14" x14ac:dyDescent="0.45">
      <c r="A177">
        <v>176</v>
      </c>
      <c r="B177">
        <v>64</v>
      </c>
      <c r="C177" t="s">
        <v>73</v>
      </c>
      <c r="D177" t="s">
        <v>268</v>
      </c>
      <c r="E177">
        <v>1000</v>
      </c>
      <c r="F177" t="s">
        <v>77</v>
      </c>
      <c r="G177" t="s">
        <v>78</v>
      </c>
      <c r="H177" t="s">
        <v>218</v>
      </c>
      <c r="I177">
        <v>0</v>
      </c>
      <c r="J177">
        <v>3224</v>
      </c>
      <c r="K177" t="s">
        <v>308</v>
      </c>
      <c r="L177" t="s">
        <v>309</v>
      </c>
      <c r="M177" t="s">
        <v>72</v>
      </c>
      <c r="N177" t="s">
        <v>184</v>
      </c>
    </row>
    <row r="178" spans="1:14" x14ac:dyDescent="0.45">
      <c r="A178">
        <v>177</v>
      </c>
      <c r="B178">
        <v>65</v>
      </c>
      <c r="C178" t="s">
        <v>72</v>
      </c>
      <c r="D178" t="s">
        <v>268</v>
      </c>
      <c r="E178">
        <v>1000</v>
      </c>
      <c r="F178" t="s">
        <v>77</v>
      </c>
      <c r="G178" t="s">
        <v>78</v>
      </c>
      <c r="H178" t="s">
        <v>218</v>
      </c>
      <c r="I178">
        <v>3224</v>
      </c>
      <c r="J178">
        <v>0</v>
      </c>
      <c r="K178" t="s">
        <v>310</v>
      </c>
      <c r="L178" t="s">
        <v>309</v>
      </c>
      <c r="M178" t="s">
        <v>73</v>
      </c>
      <c r="N178" t="s">
        <v>184</v>
      </c>
    </row>
    <row r="179" spans="1:14" x14ac:dyDescent="0.45">
      <c r="A179">
        <v>178</v>
      </c>
      <c r="B179">
        <v>65</v>
      </c>
      <c r="C179" t="s">
        <v>72</v>
      </c>
      <c r="D179" t="s">
        <v>268</v>
      </c>
      <c r="E179">
        <v>1300</v>
      </c>
      <c r="F179" t="s">
        <v>84</v>
      </c>
      <c r="G179" t="s">
        <v>78</v>
      </c>
      <c r="H179" t="s">
        <v>261</v>
      </c>
      <c r="I179">
        <v>0</v>
      </c>
      <c r="J179">
        <v>3224</v>
      </c>
      <c r="K179" t="s">
        <v>310</v>
      </c>
      <c r="L179" t="s">
        <v>309</v>
      </c>
      <c r="M179" t="s">
        <v>73</v>
      </c>
      <c r="N179" t="s">
        <v>184</v>
      </c>
    </row>
    <row r="180" spans="1:14" x14ac:dyDescent="0.45">
      <c r="A180">
        <v>179</v>
      </c>
      <c r="B180">
        <v>66</v>
      </c>
      <c r="C180" t="s">
        <v>72</v>
      </c>
      <c r="D180" t="s">
        <v>305</v>
      </c>
      <c r="E180">
        <v>1300</v>
      </c>
      <c r="F180" t="s">
        <v>84</v>
      </c>
      <c r="G180" t="s">
        <v>78</v>
      </c>
      <c r="H180" t="s">
        <v>261</v>
      </c>
      <c r="I180">
        <v>2888.6</v>
      </c>
      <c r="J180">
        <v>0</v>
      </c>
      <c r="K180" t="s">
        <v>311</v>
      </c>
      <c r="L180" t="s">
        <v>263</v>
      </c>
      <c r="M180" t="s">
        <v>74</v>
      </c>
      <c r="N180" t="s">
        <v>184</v>
      </c>
    </row>
    <row r="181" spans="1:14" x14ac:dyDescent="0.45">
      <c r="A181">
        <v>180</v>
      </c>
      <c r="B181">
        <v>66</v>
      </c>
      <c r="C181" t="s">
        <v>72</v>
      </c>
      <c r="D181" t="s">
        <v>305</v>
      </c>
      <c r="E181">
        <v>4090</v>
      </c>
      <c r="F181" t="s">
        <v>107</v>
      </c>
      <c r="G181" t="s">
        <v>99</v>
      </c>
      <c r="H181" t="s">
        <v>261</v>
      </c>
      <c r="I181">
        <v>0</v>
      </c>
      <c r="J181">
        <v>2888.6</v>
      </c>
      <c r="K181" t="s">
        <v>311</v>
      </c>
      <c r="L181" t="s">
        <v>263</v>
      </c>
      <c r="M181" t="s">
        <v>74</v>
      </c>
      <c r="N181" t="s">
        <v>184</v>
      </c>
    </row>
    <row r="182" spans="1:14" x14ac:dyDescent="0.45">
      <c r="A182">
        <v>181</v>
      </c>
      <c r="B182">
        <v>67</v>
      </c>
      <c r="C182" t="s">
        <v>74</v>
      </c>
      <c r="D182" t="s">
        <v>305</v>
      </c>
      <c r="E182">
        <v>6070</v>
      </c>
      <c r="F182" t="s">
        <v>131</v>
      </c>
      <c r="G182" t="s">
        <v>117</v>
      </c>
      <c r="H182" t="s">
        <v>261</v>
      </c>
      <c r="I182">
        <v>2888.6</v>
      </c>
      <c r="J182">
        <v>0</v>
      </c>
      <c r="K182" t="s">
        <v>307</v>
      </c>
      <c r="L182" t="s">
        <v>263</v>
      </c>
      <c r="M182" t="s">
        <v>72</v>
      </c>
      <c r="N182" t="s">
        <v>184</v>
      </c>
    </row>
    <row r="183" spans="1:14" x14ac:dyDescent="0.45">
      <c r="A183">
        <v>182</v>
      </c>
      <c r="B183">
        <v>67</v>
      </c>
      <c r="C183" t="s">
        <v>74</v>
      </c>
      <c r="D183" t="s">
        <v>305</v>
      </c>
      <c r="E183">
        <v>2200</v>
      </c>
      <c r="F183" t="s">
        <v>93</v>
      </c>
      <c r="G183" t="s">
        <v>89</v>
      </c>
      <c r="H183" t="s">
        <v>261</v>
      </c>
      <c r="I183">
        <v>0</v>
      </c>
      <c r="J183">
        <v>2888.6</v>
      </c>
      <c r="K183" t="s">
        <v>307</v>
      </c>
      <c r="L183" t="s">
        <v>263</v>
      </c>
      <c r="M183" t="s">
        <v>72</v>
      </c>
      <c r="N183" t="s">
        <v>184</v>
      </c>
    </row>
    <row r="184" spans="1:14" x14ac:dyDescent="0.45">
      <c r="A184">
        <v>183</v>
      </c>
      <c r="B184">
        <v>68</v>
      </c>
      <c r="C184" t="s">
        <v>74</v>
      </c>
      <c r="D184" t="s">
        <v>268</v>
      </c>
      <c r="E184">
        <v>2200</v>
      </c>
      <c r="F184" t="s">
        <v>93</v>
      </c>
      <c r="G184" t="s">
        <v>89</v>
      </c>
      <c r="H184" t="s">
        <v>261</v>
      </c>
      <c r="I184">
        <v>2860</v>
      </c>
      <c r="J184">
        <v>0</v>
      </c>
      <c r="K184" t="s">
        <v>308</v>
      </c>
      <c r="L184" t="s">
        <v>309</v>
      </c>
      <c r="M184" t="s">
        <v>72</v>
      </c>
      <c r="N184" t="s">
        <v>184</v>
      </c>
    </row>
    <row r="185" spans="1:14" x14ac:dyDescent="0.45">
      <c r="A185">
        <v>184</v>
      </c>
      <c r="B185">
        <v>68</v>
      </c>
      <c r="C185" t="s">
        <v>74</v>
      </c>
      <c r="D185" t="s">
        <v>268</v>
      </c>
      <c r="E185">
        <v>1000</v>
      </c>
      <c r="F185" t="s">
        <v>77</v>
      </c>
      <c r="G185" t="s">
        <v>78</v>
      </c>
      <c r="H185" t="s">
        <v>218</v>
      </c>
      <c r="I185">
        <v>0</v>
      </c>
      <c r="J185">
        <v>2860</v>
      </c>
      <c r="K185" t="s">
        <v>308</v>
      </c>
      <c r="L185" t="s">
        <v>309</v>
      </c>
      <c r="M185" t="s">
        <v>72</v>
      </c>
      <c r="N185" t="s">
        <v>184</v>
      </c>
    </row>
    <row r="186" spans="1:14" x14ac:dyDescent="0.45">
      <c r="A186">
        <v>185</v>
      </c>
      <c r="B186">
        <v>69</v>
      </c>
      <c r="C186" t="s">
        <v>72</v>
      </c>
      <c r="D186" t="s">
        <v>268</v>
      </c>
      <c r="E186">
        <v>1000</v>
      </c>
      <c r="F186" t="s">
        <v>77</v>
      </c>
      <c r="G186" t="s">
        <v>78</v>
      </c>
      <c r="H186" t="s">
        <v>218</v>
      </c>
      <c r="I186">
        <v>2860</v>
      </c>
      <c r="J186">
        <v>0</v>
      </c>
      <c r="K186" t="s">
        <v>312</v>
      </c>
      <c r="L186" t="s">
        <v>309</v>
      </c>
      <c r="M186" t="s">
        <v>74</v>
      </c>
      <c r="N186" t="s">
        <v>184</v>
      </c>
    </row>
    <row r="187" spans="1:14" x14ac:dyDescent="0.45">
      <c r="A187">
        <v>186</v>
      </c>
      <c r="B187">
        <v>69</v>
      </c>
      <c r="C187" t="s">
        <v>72</v>
      </c>
      <c r="D187" t="s">
        <v>268</v>
      </c>
      <c r="E187">
        <v>1300</v>
      </c>
      <c r="F187" t="s">
        <v>84</v>
      </c>
      <c r="G187" t="s">
        <v>78</v>
      </c>
      <c r="H187" t="s">
        <v>261</v>
      </c>
      <c r="I187">
        <v>0</v>
      </c>
      <c r="J187">
        <v>2860</v>
      </c>
      <c r="K187" t="s">
        <v>312</v>
      </c>
      <c r="L187" t="s">
        <v>309</v>
      </c>
      <c r="M187" t="s">
        <v>74</v>
      </c>
      <c r="N187" t="s">
        <v>184</v>
      </c>
    </row>
    <row r="188" spans="1:14" x14ac:dyDescent="0.45">
      <c r="A188">
        <v>187</v>
      </c>
      <c r="B188">
        <v>70</v>
      </c>
      <c r="C188" t="s">
        <v>72</v>
      </c>
      <c r="D188" t="s">
        <v>313</v>
      </c>
      <c r="E188">
        <v>1100</v>
      </c>
      <c r="F188" t="s">
        <v>80</v>
      </c>
      <c r="G188" t="s">
        <v>78</v>
      </c>
      <c r="H188" t="s">
        <v>218</v>
      </c>
      <c r="I188">
        <v>102950.59</v>
      </c>
      <c r="J188">
        <v>0</v>
      </c>
      <c r="K188" t="s">
        <v>314</v>
      </c>
      <c r="L188" t="s">
        <v>220</v>
      </c>
      <c r="N188" t="s">
        <v>185</v>
      </c>
    </row>
    <row r="189" spans="1:14" x14ac:dyDescent="0.45">
      <c r="A189">
        <v>188</v>
      </c>
      <c r="B189">
        <v>70</v>
      </c>
      <c r="C189" t="s">
        <v>72</v>
      </c>
      <c r="D189" t="s">
        <v>313</v>
      </c>
      <c r="E189">
        <v>4010</v>
      </c>
      <c r="F189" t="s">
        <v>101</v>
      </c>
      <c r="G189" t="s">
        <v>99</v>
      </c>
      <c r="H189" t="s">
        <v>218</v>
      </c>
      <c r="I189">
        <v>0</v>
      </c>
      <c r="J189">
        <v>43239.25</v>
      </c>
      <c r="K189" t="s">
        <v>314</v>
      </c>
      <c r="L189" t="s">
        <v>220</v>
      </c>
      <c r="N189" t="s">
        <v>185</v>
      </c>
    </row>
    <row r="190" spans="1:14" x14ac:dyDescent="0.45">
      <c r="A190">
        <v>189</v>
      </c>
      <c r="B190">
        <v>70</v>
      </c>
      <c r="C190" t="s">
        <v>72</v>
      </c>
      <c r="D190" t="s">
        <v>313</v>
      </c>
      <c r="E190">
        <v>4020</v>
      </c>
      <c r="F190" t="s">
        <v>103</v>
      </c>
      <c r="G190" t="s">
        <v>99</v>
      </c>
      <c r="H190" t="s">
        <v>218</v>
      </c>
      <c r="I190">
        <v>0</v>
      </c>
      <c r="J190">
        <v>33973.69</v>
      </c>
      <c r="K190" t="s">
        <v>314</v>
      </c>
      <c r="L190" t="s">
        <v>220</v>
      </c>
      <c r="N190" t="s">
        <v>185</v>
      </c>
    </row>
    <row r="191" spans="1:14" x14ac:dyDescent="0.45">
      <c r="A191">
        <v>190</v>
      </c>
      <c r="B191">
        <v>70</v>
      </c>
      <c r="C191" t="s">
        <v>72</v>
      </c>
      <c r="D191" t="s">
        <v>313</v>
      </c>
      <c r="E191">
        <v>4030</v>
      </c>
      <c r="F191" t="s">
        <v>105</v>
      </c>
      <c r="G191" t="s">
        <v>99</v>
      </c>
      <c r="H191" t="s">
        <v>218</v>
      </c>
      <c r="I191">
        <v>0</v>
      </c>
      <c r="J191">
        <v>25737.65</v>
      </c>
      <c r="K191" t="s">
        <v>314</v>
      </c>
      <c r="L191" t="s">
        <v>220</v>
      </c>
      <c r="N191" t="s">
        <v>185</v>
      </c>
    </row>
    <row r="192" spans="1:14" x14ac:dyDescent="0.45">
      <c r="A192">
        <v>191</v>
      </c>
      <c r="B192">
        <v>71</v>
      </c>
      <c r="C192" t="s">
        <v>72</v>
      </c>
      <c r="D192" t="s">
        <v>315</v>
      </c>
      <c r="E192">
        <v>1000</v>
      </c>
      <c r="F192" t="s">
        <v>77</v>
      </c>
      <c r="G192" t="s">
        <v>78</v>
      </c>
      <c r="H192" t="s">
        <v>218</v>
      </c>
      <c r="I192">
        <v>98128.78</v>
      </c>
      <c r="J192">
        <v>0</v>
      </c>
      <c r="K192" t="s">
        <v>316</v>
      </c>
      <c r="L192" t="s">
        <v>223</v>
      </c>
      <c r="N192" t="s">
        <v>185</v>
      </c>
    </row>
    <row r="193" spans="1:14" x14ac:dyDescent="0.45">
      <c r="A193">
        <v>192</v>
      </c>
      <c r="B193">
        <v>71</v>
      </c>
      <c r="C193" t="s">
        <v>72</v>
      </c>
      <c r="D193" t="s">
        <v>315</v>
      </c>
      <c r="E193">
        <v>1100</v>
      </c>
      <c r="F193" t="s">
        <v>80</v>
      </c>
      <c r="G193" t="s">
        <v>78</v>
      </c>
      <c r="H193" t="s">
        <v>218</v>
      </c>
      <c r="I193">
        <v>0</v>
      </c>
      <c r="J193">
        <v>98128.78</v>
      </c>
      <c r="K193" t="s">
        <v>316</v>
      </c>
      <c r="L193" t="s">
        <v>223</v>
      </c>
      <c r="N193" t="s">
        <v>185</v>
      </c>
    </row>
    <row r="194" spans="1:14" x14ac:dyDescent="0.45">
      <c r="A194">
        <v>193</v>
      </c>
      <c r="B194">
        <v>72</v>
      </c>
      <c r="C194" t="s">
        <v>72</v>
      </c>
      <c r="D194" t="s">
        <v>317</v>
      </c>
      <c r="E194">
        <v>5010</v>
      </c>
      <c r="F194" t="s">
        <v>112</v>
      </c>
      <c r="G194" t="s">
        <v>110</v>
      </c>
      <c r="H194" t="s">
        <v>218</v>
      </c>
      <c r="I194">
        <v>5846.92</v>
      </c>
      <c r="J194">
        <v>0</v>
      </c>
      <c r="K194" t="s">
        <v>318</v>
      </c>
      <c r="L194" t="s">
        <v>226</v>
      </c>
      <c r="N194" t="s">
        <v>185</v>
      </c>
    </row>
    <row r="195" spans="1:14" x14ac:dyDescent="0.45">
      <c r="A195">
        <v>194</v>
      </c>
      <c r="B195">
        <v>72</v>
      </c>
      <c r="C195" t="s">
        <v>72</v>
      </c>
      <c r="D195" t="s">
        <v>317</v>
      </c>
      <c r="E195">
        <v>5020</v>
      </c>
      <c r="F195" t="s">
        <v>114</v>
      </c>
      <c r="G195" t="s">
        <v>110</v>
      </c>
      <c r="H195" t="s">
        <v>218</v>
      </c>
      <c r="I195">
        <v>4783.8500000000004</v>
      </c>
      <c r="J195">
        <v>0</v>
      </c>
      <c r="K195" t="s">
        <v>318</v>
      </c>
      <c r="L195" t="s">
        <v>226</v>
      </c>
      <c r="N195" t="s">
        <v>185</v>
      </c>
    </row>
    <row r="196" spans="1:14" x14ac:dyDescent="0.45">
      <c r="A196">
        <v>195</v>
      </c>
      <c r="B196">
        <v>72</v>
      </c>
      <c r="C196" t="s">
        <v>72</v>
      </c>
      <c r="D196" t="s">
        <v>317</v>
      </c>
      <c r="E196">
        <v>1000</v>
      </c>
      <c r="F196" t="s">
        <v>77</v>
      </c>
      <c r="G196" t="s">
        <v>78</v>
      </c>
      <c r="H196" t="s">
        <v>218</v>
      </c>
      <c r="I196">
        <v>0</v>
      </c>
      <c r="J196">
        <v>7441.54</v>
      </c>
      <c r="K196" t="s">
        <v>318</v>
      </c>
      <c r="L196" t="s">
        <v>226</v>
      </c>
      <c r="N196" t="s">
        <v>185</v>
      </c>
    </row>
    <row r="197" spans="1:14" x14ac:dyDescent="0.45">
      <c r="A197">
        <v>196</v>
      </c>
      <c r="B197">
        <v>72</v>
      </c>
      <c r="C197" t="s">
        <v>72</v>
      </c>
      <c r="D197" t="s">
        <v>317</v>
      </c>
      <c r="E197">
        <v>2000</v>
      </c>
      <c r="F197" t="s">
        <v>88</v>
      </c>
      <c r="G197" t="s">
        <v>89</v>
      </c>
      <c r="H197" t="s">
        <v>218</v>
      </c>
      <c r="I197">
        <v>0</v>
      </c>
      <c r="J197">
        <v>3189.23</v>
      </c>
      <c r="K197" t="s">
        <v>318</v>
      </c>
      <c r="L197" t="s">
        <v>226</v>
      </c>
      <c r="N197" t="s">
        <v>185</v>
      </c>
    </row>
    <row r="198" spans="1:14" x14ac:dyDescent="0.45">
      <c r="A198">
        <v>197</v>
      </c>
      <c r="B198">
        <v>73</v>
      </c>
      <c r="C198" t="s">
        <v>72</v>
      </c>
      <c r="D198" t="s">
        <v>319</v>
      </c>
      <c r="E198">
        <v>6010</v>
      </c>
      <c r="F198" t="s">
        <v>119</v>
      </c>
      <c r="G198" t="s">
        <v>117</v>
      </c>
      <c r="H198" t="s">
        <v>218</v>
      </c>
      <c r="I198">
        <v>41984</v>
      </c>
      <c r="J198">
        <v>0</v>
      </c>
      <c r="K198" t="s">
        <v>320</v>
      </c>
      <c r="L198" t="s">
        <v>229</v>
      </c>
      <c r="N198" t="s">
        <v>185</v>
      </c>
    </row>
    <row r="199" spans="1:14" x14ac:dyDescent="0.45">
      <c r="A199">
        <v>198</v>
      </c>
      <c r="B199">
        <v>73</v>
      </c>
      <c r="C199" t="s">
        <v>72</v>
      </c>
      <c r="D199" t="s">
        <v>319</v>
      </c>
      <c r="E199">
        <v>6020</v>
      </c>
      <c r="F199" t="s">
        <v>121</v>
      </c>
      <c r="G199" t="s">
        <v>117</v>
      </c>
      <c r="H199" t="s">
        <v>218</v>
      </c>
      <c r="I199">
        <v>5877.76</v>
      </c>
      <c r="J199">
        <v>0</v>
      </c>
      <c r="K199" t="s">
        <v>320</v>
      </c>
      <c r="L199" t="s">
        <v>229</v>
      </c>
      <c r="N199" t="s">
        <v>185</v>
      </c>
    </row>
    <row r="200" spans="1:14" x14ac:dyDescent="0.45">
      <c r="A200">
        <v>199</v>
      </c>
      <c r="B200">
        <v>73</v>
      </c>
      <c r="C200" t="s">
        <v>72</v>
      </c>
      <c r="D200" t="s">
        <v>319</v>
      </c>
      <c r="E200">
        <v>1000</v>
      </c>
      <c r="F200" t="s">
        <v>77</v>
      </c>
      <c r="G200" t="s">
        <v>78</v>
      </c>
      <c r="H200" t="s">
        <v>218</v>
      </c>
      <c r="I200">
        <v>0</v>
      </c>
      <c r="J200">
        <v>47805.67</v>
      </c>
      <c r="K200" t="s">
        <v>320</v>
      </c>
      <c r="L200" t="s">
        <v>229</v>
      </c>
      <c r="N200" t="s">
        <v>185</v>
      </c>
    </row>
    <row r="201" spans="1:14" x14ac:dyDescent="0.45">
      <c r="A201">
        <v>200</v>
      </c>
      <c r="B201">
        <v>73</v>
      </c>
      <c r="C201" t="s">
        <v>72</v>
      </c>
      <c r="D201" t="s">
        <v>319</v>
      </c>
      <c r="E201">
        <v>2100</v>
      </c>
      <c r="F201" t="s">
        <v>91</v>
      </c>
      <c r="G201" t="s">
        <v>89</v>
      </c>
      <c r="H201" t="s">
        <v>218</v>
      </c>
      <c r="I201">
        <v>0</v>
      </c>
      <c r="J201">
        <v>4786.18</v>
      </c>
      <c r="K201" t="s">
        <v>320</v>
      </c>
      <c r="L201" t="s">
        <v>229</v>
      </c>
      <c r="N201" t="s">
        <v>185</v>
      </c>
    </row>
    <row r="202" spans="1:14" x14ac:dyDescent="0.45">
      <c r="A202">
        <v>201</v>
      </c>
      <c r="B202">
        <v>73</v>
      </c>
      <c r="C202" t="s">
        <v>72</v>
      </c>
      <c r="D202" t="s">
        <v>319</v>
      </c>
      <c r="E202">
        <v>2100</v>
      </c>
      <c r="F202" t="s">
        <v>91</v>
      </c>
      <c r="G202" t="s">
        <v>89</v>
      </c>
      <c r="H202" t="s">
        <v>218</v>
      </c>
      <c r="I202">
        <v>4730.09</v>
      </c>
      <c r="J202">
        <v>0</v>
      </c>
      <c r="K202" t="s">
        <v>320</v>
      </c>
      <c r="L202" t="s">
        <v>229</v>
      </c>
      <c r="N202" t="s">
        <v>185</v>
      </c>
    </row>
    <row r="203" spans="1:14" x14ac:dyDescent="0.45">
      <c r="A203">
        <v>202</v>
      </c>
      <c r="B203">
        <v>74</v>
      </c>
      <c r="C203" t="s">
        <v>72</v>
      </c>
      <c r="D203" t="s">
        <v>321</v>
      </c>
      <c r="E203">
        <v>6030</v>
      </c>
      <c r="F203" t="s">
        <v>123</v>
      </c>
      <c r="G203" t="s">
        <v>117</v>
      </c>
      <c r="H203" t="s">
        <v>218</v>
      </c>
      <c r="I203">
        <v>6868</v>
      </c>
      <c r="J203">
        <v>0</v>
      </c>
      <c r="K203" t="s">
        <v>322</v>
      </c>
      <c r="L203" t="s">
        <v>232</v>
      </c>
      <c r="N203" t="s">
        <v>185</v>
      </c>
    </row>
    <row r="204" spans="1:14" x14ac:dyDescent="0.45">
      <c r="A204">
        <v>203</v>
      </c>
      <c r="B204">
        <v>74</v>
      </c>
      <c r="C204" t="s">
        <v>72</v>
      </c>
      <c r="D204" t="s">
        <v>321</v>
      </c>
      <c r="E204">
        <v>1000</v>
      </c>
      <c r="F204" t="s">
        <v>77</v>
      </c>
      <c r="G204" t="s">
        <v>78</v>
      </c>
      <c r="H204" t="s">
        <v>218</v>
      </c>
      <c r="I204">
        <v>0</v>
      </c>
      <c r="J204">
        <v>6868</v>
      </c>
      <c r="K204" t="s">
        <v>322</v>
      </c>
      <c r="L204" t="s">
        <v>232</v>
      </c>
      <c r="N204" t="s">
        <v>185</v>
      </c>
    </row>
    <row r="205" spans="1:14" x14ac:dyDescent="0.45">
      <c r="A205">
        <v>204</v>
      </c>
      <c r="B205">
        <v>75</v>
      </c>
      <c r="C205" t="s">
        <v>72</v>
      </c>
      <c r="D205" t="s">
        <v>323</v>
      </c>
      <c r="E205">
        <v>6040</v>
      </c>
      <c r="F205" t="s">
        <v>125</v>
      </c>
      <c r="G205" t="s">
        <v>117</v>
      </c>
      <c r="H205" t="s">
        <v>218</v>
      </c>
      <c r="I205">
        <v>3496.96</v>
      </c>
      <c r="J205">
        <v>0</v>
      </c>
      <c r="K205" t="s">
        <v>324</v>
      </c>
      <c r="L205" t="s">
        <v>226</v>
      </c>
      <c r="N205" t="s">
        <v>185</v>
      </c>
    </row>
    <row r="206" spans="1:14" x14ac:dyDescent="0.45">
      <c r="A206">
        <v>205</v>
      </c>
      <c r="B206">
        <v>75</v>
      </c>
      <c r="C206" t="s">
        <v>72</v>
      </c>
      <c r="D206" t="s">
        <v>323</v>
      </c>
      <c r="E206">
        <v>1000</v>
      </c>
      <c r="F206" t="s">
        <v>77</v>
      </c>
      <c r="G206" t="s">
        <v>78</v>
      </c>
      <c r="H206" t="s">
        <v>218</v>
      </c>
      <c r="I206">
        <v>0</v>
      </c>
      <c r="J206">
        <v>2797.57</v>
      </c>
      <c r="K206" t="s">
        <v>324</v>
      </c>
      <c r="L206" t="s">
        <v>226</v>
      </c>
      <c r="N206" t="s">
        <v>185</v>
      </c>
    </row>
    <row r="207" spans="1:14" x14ac:dyDescent="0.45">
      <c r="A207">
        <v>206</v>
      </c>
      <c r="B207">
        <v>75</v>
      </c>
      <c r="C207" t="s">
        <v>72</v>
      </c>
      <c r="D207" t="s">
        <v>323</v>
      </c>
      <c r="E207">
        <v>2000</v>
      </c>
      <c r="F207" t="s">
        <v>88</v>
      </c>
      <c r="G207" t="s">
        <v>89</v>
      </c>
      <c r="H207" t="s">
        <v>218</v>
      </c>
      <c r="I207">
        <v>0</v>
      </c>
      <c r="J207">
        <v>699.39</v>
      </c>
      <c r="K207" t="s">
        <v>324</v>
      </c>
      <c r="L207" t="s">
        <v>226</v>
      </c>
      <c r="N207" t="s">
        <v>185</v>
      </c>
    </row>
    <row r="208" spans="1:14" x14ac:dyDescent="0.45">
      <c r="A208">
        <v>207</v>
      </c>
      <c r="B208">
        <v>76</v>
      </c>
      <c r="C208" t="s">
        <v>72</v>
      </c>
      <c r="D208" t="s">
        <v>321</v>
      </c>
      <c r="E208">
        <v>6050</v>
      </c>
      <c r="F208" t="s">
        <v>127</v>
      </c>
      <c r="G208" t="s">
        <v>117</v>
      </c>
      <c r="H208" t="s">
        <v>218</v>
      </c>
      <c r="I208">
        <v>1450</v>
      </c>
      <c r="J208">
        <v>0</v>
      </c>
      <c r="K208" t="s">
        <v>325</v>
      </c>
      <c r="L208" t="s">
        <v>236</v>
      </c>
      <c r="N208" t="s">
        <v>185</v>
      </c>
    </row>
    <row r="209" spans="1:14" x14ac:dyDescent="0.45">
      <c r="A209">
        <v>208</v>
      </c>
      <c r="B209">
        <v>76</v>
      </c>
      <c r="C209" t="s">
        <v>72</v>
      </c>
      <c r="D209" t="s">
        <v>321</v>
      </c>
      <c r="E209">
        <v>1200</v>
      </c>
      <c r="F209" t="s">
        <v>82</v>
      </c>
      <c r="G209" t="s">
        <v>78</v>
      </c>
      <c r="H209" t="s">
        <v>218</v>
      </c>
      <c r="I209">
        <v>0</v>
      </c>
      <c r="J209">
        <v>1450</v>
      </c>
      <c r="K209" t="s">
        <v>325</v>
      </c>
      <c r="L209" t="s">
        <v>236</v>
      </c>
      <c r="N209" t="s">
        <v>185</v>
      </c>
    </row>
    <row r="210" spans="1:14" x14ac:dyDescent="0.45">
      <c r="A210">
        <v>209</v>
      </c>
      <c r="B210">
        <v>77</v>
      </c>
      <c r="C210" t="s">
        <v>72</v>
      </c>
      <c r="D210" t="s">
        <v>326</v>
      </c>
      <c r="E210">
        <v>6060</v>
      </c>
      <c r="F210" t="s">
        <v>129</v>
      </c>
      <c r="G210" t="s">
        <v>117</v>
      </c>
      <c r="H210" t="s">
        <v>218</v>
      </c>
      <c r="I210">
        <v>2142</v>
      </c>
      <c r="J210">
        <v>0</v>
      </c>
      <c r="K210" t="s">
        <v>327</v>
      </c>
      <c r="L210" t="s">
        <v>232</v>
      </c>
      <c r="N210" t="s">
        <v>185</v>
      </c>
    </row>
    <row r="211" spans="1:14" x14ac:dyDescent="0.45">
      <c r="A211">
        <v>210</v>
      </c>
      <c r="B211">
        <v>77</v>
      </c>
      <c r="C211" t="s">
        <v>72</v>
      </c>
      <c r="D211" t="s">
        <v>326</v>
      </c>
      <c r="E211">
        <v>1000</v>
      </c>
      <c r="F211" t="s">
        <v>77</v>
      </c>
      <c r="G211" t="s">
        <v>78</v>
      </c>
      <c r="H211" t="s">
        <v>218</v>
      </c>
      <c r="I211">
        <v>0</v>
      </c>
      <c r="J211">
        <v>2142</v>
      </c>
      <c r="K211" t="s">
        <v>327</v>
      </c>
      <c r="L211" t="s">
        <v>232</v>
      </c>
      <c r="N211" t="s">
        <v>185</v>
      </c>
    </row>
    <row r="212" spans="1:14" x14ac:dyDescent="0.45">
      <c r="A212">
        <v>211</v>
      </c>
      <c r="B212">
        <v>78</v>
      </c>
      <c r="C212" t="s">
        <v>72</v>
      </c>
      <c r="D212" t="s">
        <v>328</v>
      </c>
      <c r="E212">
        <v>7000</v>
      </c>
      <c r="F212" t="s">
        <v>133</v>
      </c>
      <c r="G212" t="s">
        <v>117</v>
      </c>
      <c r="H212" t="s">
        <v>218</v>
      </c>
      <c r="I212">
        <v>1100</v>
      </c>
      <c r="J212">
        <v>0</v>
      </c>
      <c r="K212" t="s">
        <v>329</v>
      </c>
      <c r="L212" t="s">
        <v>241</v>
      </c>
      <c r="N212" t="s">
        <v>185</v>
      </c>
    </row>
    <row r="213" spans="1:14" x14ac:dyDescent="0.45">
      <c r="A213">
        <v>212</v>
      </c>
      <c r="B213">
        <v>78</v>
      </c>
      <c r="C213" t="s">
        <v>72</v>
      </c>
      <c r="D213" t="s">
        <v>328</v>
      </c>
      <c r="E213">
        <v>1500</v>
      </c>
      <c r="F213" t="s">
        <v>86</v>
      </c>
      <c r="G213" t="s">
        <v>78</v>
      </c>
      <c r="H213" t="s">
        <v>218</v>
      </c>
      <c r="I213">
        <v>0</v>
      </c>
      <c r="J213">
        <v>1100</v>
      </c>
      <c r="K213" t="s">
        <v>329</v>
      </c>
      <c r="L213" t="s">
        <v>241</v>
      </c>
      <c r="N213" t="s">
        <v>185</v>
      </c>
    </row>
    <row r="214" spans="1:14" x14ac:dyDescent="0.45">
      <c r="A214">
        <v>213</v>
      </c>
      <c r="B214">
        <v>79</v>
      </c>
      <c r="C214" t="s">
        <v>72</v>
      </c>
      <c r="D214" t="s">
        <v>330</v>
      </c>
      <c r="E214">
        <v>2000</v>
      </c>
      <c r="F214" t="s">
        <v>88</v>
      </c>
      <c r="G214" t="s">
        <v>89</v>
      </c>
      <c r="H214" t="s">
        <v>218</v>
      </c>
      <c r="I214">
        <v>3814.84</v>
      </c>
      <c r="J214">
        <v>0</v>
      </c>
      <c r="K214" t="s">
        <v>331</v>
      </c>
      <c r="L214" t="s">
        <v>232</v>
      </c>
      <c r="N214" t="s">
        <v>185</v>
      </c>
    </row>
    <row r="215" spans="1:14" x14ac:dyDescent="0.45">
      <c r="A215">
        <v>214</v>
      </c>
      <c r="B215">
        <v>79</v>
      </c>
      <c r="C215" t="s">
        <v>72</v>
      </c>
      <c r="D215" t="s">
        <v>330</v>
      </c>
      <c r="E215">
        <v>1000</v>
      </c>
      <c r="F215" t="s">
        <v>77</v>
      </c>
      <c r="G215" t="s">
        <v>78</v>
      </c>
      <c r="H215" t="s">
        <v>218</v>
      </c>
      <c r="I215">
        <v>0</v>
      </c>
      <c r="J215">
        <v>3814.84</v>
      </c>
      <c r="K215" t="s">
        <v>331</v>
      </c>
      <c r="L215" t="s">
        <v>232</v>
      </c>
      <c r="N215" t="s">
        <v>185</v>
      </c>
    </row>
    <row r="216" spans="1:14" x14ac:dyDescent="0.45">
      <c r="A216">
        <v>215</v>
      </c>
      <c r="B216">
        <v>80</v>
      </c>
      <c r="C216" t="s">
        <v>73</v>
      </c>
      <c r="D216" t="s">
        <v>313</v>
      </c>
      <c r="E216">
        <v>1100</v>
      </c>
      <c r="F216" t="s">
        <v>80</v>
      </c>
      <c r="G216" t="s">
        <v>78</v>
      </c>
      <c r="H216" t="s">
        <v>218</v>
      </c>
      <c r="I216">
        <v>57700.35</v>
      </c>
      <c r="J216">
        <v>0</v>
      </c>
      <c r="K216" t="s">
        <v>332</v>
      </c>
      <c r="L216" t="s">
        <v>220</v>
      </c>
      <c r="N216" t="s">
        <v>185</v>
      </c>
    </row>
    <row r="217" spans="1:14" x14ac:dyDescent="0.45">
      <c r="A217">
        <v>216</v>
      </c>
      <c r="B217">
        <v>80</v>
      </c>
      <c r="C217" t="s">
        <v>73</v>
      </c>
      <c r="D217" t="s">
        <v>313</v>
      </c>
      <c r="E217">
        <v>4010</v>
      </c>
      <c r="F217" t="s">
        <v>101</v>
      </c>
      <c r="G217" t="s">
        <v>99</v>
      </c>
      <c r="H217" t="s">
        <v>218</v>
      </c>
      <c r="I217">
        <v>0</v>
      </c>
      <c r="J217">
        <v>24234.15</v>
      </c>
      <c r="K217" t="s">
        <v>332</v>
      </c>
      <c r="L217" t="s">
        <v>220</v>
      </c>
      <c r="N217" t="s">
        <v>185</v>
      </c>
    </row>
    <row r="218" spans="1:14" x14ac:dyDescent="0.45">
      <c r="A218">
        <v>217</v>
      </c>
      <c r="B218">
        <v>80</v>
      </c>
      <c r="C218" t="s">
        <v>73</v>
      </c>
      <c r="D218" t="s">
        <v>313</v>
      </c>
      <c r="E218">
        <v>4020</v>
      </c>
      <c r="F218" t="s">
        <v>103</v>
      </c>
      <c r="G218" t="s">
        <v>99</v>
      </c>
      <c r="H218" t="s">
        <v>218</v>
      </c>
      <c r="I218">
        <v>0</v>
      </c>
      <c r="J218">
        <v>19041.12</v>
      </c>
      <c r="K218" t="s">
        <v>332</v>
      </c>
      <c r="L218" t="s">
        <v>220</v>
      </c>
      <c r="N218" t="s">
        <v>185</v>
      </c>
    </row>
    <row r="219" spans="1:14" x14ac:dyDescent="0.45">
      <c r="A219">
        <v>218</v>
      </c>
      <c r="B219">
        <v>80</v>
      </c>
      <c r="C219" t="s">
        <v>73</v>
      </c>
      <c r="D219" t="s">
        <v>313</v>
      </c>
      <c r="E219">
        <v>4030</v>
      </c>
      <c r="F219" t="s">
        <v>105</v>
      </c>
      <c r="G219" t="s">
        <v>99</v>
      </c>
      <c r="H219" t="s">
        <v>218</v>
      </c>
      <c r="I219">
        <v>0</v>
      </c>
      <c r="J219">
        <v>14425.08</v>
      </c>
      <c r="K219" t="s">
        <v>332</v>
      </c>
      <c r="L219" t="s">
        <v>220</v>
      </c>
      <c r="N219" t="s">
        <v>185</v>
      </c>
    </row>
    <row r="220" spans="1:14" x14ac:dyDescent="0.45">
      <c r="A220">
        <v>219</v>
      </c>
      <c r="B220">
        <v>81</v>
      </c>
      <c r="C220" t="s">
        <v>73</v>
      </c>
      <c r="D220" t="s">
        <v>315</v>
      </c>
      <c r="E220">
        <v>1000</v>
      </c>
      <c r="F220" t="s">
        <v>77</v>
      </c>
      <c r="G220" t="s">
        <v>78</v>
      </c>
      <c r="H220" t="s">
        <v>218</v>
      </c>
      <c r="I220">
        <v>51195.95</v>
      </c>
      <c r="J220">
        <v>0</v>
      </c>
      <c r="K220" t="s">
        <v>333</v>
      </c>
      <c r="L220" t="s">
        <v>223</v>
      </c>
      <c r="N220" t="s">
        <v>185</v>
      </c>
    </row>
    <row r="221" spans="1:14" x14ac:dyDescent="0.45">
      <c r="A221">
        <v>220</v>
      </c>
      <c r="B221">
        <v>81</v>
      </c>
      <c r="C221" t="s">
        <v>73</v>
      </c>
      <c r="D221" t="s">
        <v>315</v>
      </c>
      <c r="E221">
        <v>1100</v>
      </c>
      <c r="F221" t="s">
        <v>80</v>
      </c>
      <c r="G221" t="s">
        <v>78</v>
      </c>
      <c r="H221" t="s">
        <v>218</v>
      </c>
      <c r="I221">
        <v>0</v>
      </c>
      <c r="J221">
        <v>51195.95</v>
      </c>
      <c r="K221" t="s">
        <v>333</v>
      </c>
      <c r="L221" t="s">
        <v>223</v>
      </c>
      <c r="N221" t="s">
        <v>185</v>
      </c>
    </row>
    <row r="222" spans="1:14" x14ac:dyDescent="0.45">
      <c r="A222">
        <v>221</v>
      </c>
      <c r="B222">
        <v>82</v>
      </c>
      <c r="C222" t="s">
        <v>73</v>
      </c>
      <c r="D222" t="s">
        <v>317</v>
      </c>
      <c r="E222">
        <v>5010</v>
      </c>
      <c r="F222" t="s">
        <v>112</v>
      </c>
      <c r="G222" t="s">
        <v>110</v>
      </c>
      <c r="H222" t="s">
        <v>218</v>
      </c>
      <c r="I222">
        <v>3277</v>
      </c>
      <c r="J222">
        <v>0</v>
      </c>
      <c r="K222" t="s">
        <v>334</v>
      </c>
      <c r="L222" t="s">
        <v>226</v>
      </c>
      <c r="N222" t="s">
        <v>185</v>
      </c>
    </row>
    <row r="223" spans="1:14" x14ac:dyDescent="0.45">
      <c r="A223">
        <v>222</v>
      </c>
      <c r="B223">
        <v>82</v>
      </c>
      <c r="C223" t="s">
        <v>73</v>
      </c>
      <c r="D223" t="s">
        <v>317</v>
      </c>
      <c r="E223">
        <v>5020</v>
      </c>
      <c r="F223" t="s">
        <v>114</v>
      </c>
      <c r="G223" t="s">
        <v>110</v>
      </c>
      <c r="H223" t="s">
        <v>218</v>
      </c>
      <c r="I223">
        <v>2681.19</v>
      </c>
      <c r="J223">
        <v>0</v>
      </c>
      <c r="K223" t="s">
        <v>334</v>
      </c>
      <c r="L223" t="s">
        <v>226</v>
      </c>
      <c r="N223" t="s">
        <v>185</v>
      </c>
    </row>
    <row r="224" spans="1:14" x14ac:dyDescent="0.45">
      <c r="A224">
        <v>223</v>
      </c>
      <c r="B224">
        <v>82</v>
      </c>
      <c r="C224" t="s">
        <v>73</v>
      </c>
      <c r="D224" t="s">
        <v>317</v>
      </c>
      <c r="E224">
        <v>1000</v>
      </c>
      <c r="F224" t="s">
        <v>77</v>
      </c>
      <c r="G224" t="s">
        <v>78</v>
      </c>
      <c r="H224" t="s">
        <v>218</v>
      </c>
      <c r="I224">
        <v>0</v>
      </c>
      <c r="J224">
        <v>4170.7299999999996</v>
      </c>
      <c r="K224" t="s">
        <v>334</v>
      </c>
      <c r="L224" t="s">
        <v>226</v>
      </c>
      <c r="N224" t="s">
        <v>185</v>
      </c>
    </row>
    <row r="225" spans="1:14" x14ac:dyDescent="0.45">
      <c r="A225">
        <v>224</v>
      </c>
      <c r="B225">
        <v>82</v>
      </c>
      <c r="C225" t="s">
        <v>73</v>
      </c>
      <c r="D225" t="s">
        <v>317</v>
      </c>
      <c r="E225">
        <v>2000</v>
      </c>
      <c r="F225" t="s">
        <v>88</v>
      </c>
      <c r="G225" t="s">
        <v>89</v>
      </c>
      <c r="H225" t="s">
        <v>218</v>
      </c>
      <c r="I225">
        <v>0</v>
      </c>
      <c r="J225">
        <v>1787.46</v>
      </c>
      <c r="K225" t="s">
        <v>334</v>
      </c>
      <c r="L225" t="s">
        <v>226</v>
      </c>
      <c r="N225" t="s">
        <v>185</v>
      </c>
    </row>
    <row r="226" spans="1:14" x14ac:dyDescent="0.45">
      <c r="A226">
        <v>225</v>
      </c>
      <c r="B226">
        <v>83</v>
      </c>
      <c r="C226" t="s">
        <v>73</v>
      </c>
      <c r="D226" t="s">
        <v>319</v>
      </c>
      <c r="E226">
        <v>6010</v>
      </c>
      <c r="F226" t="s">
        <v>119</v>
      </c>
      <c r="G226" t="s">
        <v>117</v>
      </c>
      <c r="H226" t="s">
        <v>218</v>
      </c>
      <c r="I226">
        <v>26030.080000000002</v>
      </c>
      <c r="J226">
        <v>0</v>
      </c>
      <c r="K226" t="s">
        <v>335</v>
      </c>
      <c r="L226" t="s">
        <v>229</v>
      </c>
      <c r="N226" t="s">
        <v>185</v>
      </c>
    </row>
    <row r="227" spans="1:14" x14ac:dyDescent="0.45">
      <c r="A227">
        <v>226</v>
      </c>
      <c r="B227">
        <v>83</v>
      </c>
      <c r="C227" t="s">
        <v>73</v>
      </c>
      <c r="D227" t="s">
        <v>319</v>
      </c>
      <c r="E227">
        <v>6020</v>
      </c>
      <c r="F227" t="s">
        <v>121</v>
      </c>
      <c r="G227" t="s">
        <v>117</v>
      </c>
      <c r="H227" t="s">
        <v>218</v>
      </c>
      <c r="I227">
        <v>3644.21</v>
      </c>
      <c r="J227">
        <v>0</v>
      </c>
      <c r="K227" t="s">
        <v>335</v>
      </c>
      <c r="L227" t="s">
        <v>229</v>
      </c>
      <c r="N227" t="s">
        <v>185</v>
      </c>
    </row>
    <row r="228" spans="1:14" x14ac:dyDescent="0.45">
      <c r="A228">
        <v>227</v>
      </c>
      <c r="B228">
        <v>83</v>
      </c>
      <c r="C228" t="s">
        <v>73</v>
      </c>
      <c r="D228" t="s">
        <v>319</v>
      </c>
      <c r="E228">
        <v>1000</v>
      </c>
      <c r="F228" t="s">
        <v>77</v>
      </c>
      <c r="G228" t="s">
        <v>78</v>
      </c>
      <c r="H228" t="s">
        <v>218</v>
      </c>
      <c r="I228">
        <v>0</v>
      </c>
      <c r="J228">
        <v>29639.51</v>
      </c>
      <c r="K228" t="s">
        <v>335</v>
      </c>
      <c r="L228" t="s">
        <v>229</v>
      </c>
      <c r="N228" t="s">
        <v>185</v>
      </c>
    </row>
    <row r="229" spans="1:14" x14ac:dyDescent="0.45">
      <c r="A229">
        <v>228</v>
      </c>
      <c r="B229">
        <v>83</v>
      </c>
      <c r="C229" t="s">
        <v>73</v>
      </c>
      <c r="D229" t="s">
        <v>319</v>
      </c>
      <c r="E229">
        <v>2100</v>
      </c>
      <c r="F229" t="s">
        <v>91</v>
      </c>
      <c r="G229" t="s">
        <v>89</v>
      </c>
      <c r="H229" t="s">
        <v>218</v>
      </c>
      <c r="I229">
        <v>0</v>
      </c>
      <c r="J229">
        <v>2967.43</v>
      </c>
      <c r="K229" t="s">
        <v>335</v>
      </c>
      <c r="L229" t="s">
        <v>229</v>
      </c>
      <c r="N229" t="s">
        <v>185</v>
      </c>
    </row>
    <row r="230" spans="1:14" x14ac:dyDescent="0.45">
      <c r="A230">
        <v>229</v>
      </c>
      <c r="B230">
        <v>83</v>
      </c>
      <c r="C230" t="s">
        <v>73</v>
      </c>
      <c r="D230" t="s">
        <v>319</v>
      </c>
      <c r="E230">
        <v>2100</v>
      </c>
      <c r="F230" t="s">
        <v>91</v>
      </c>
      <c r="G230" t="s">
        <v>89</v>
      </c>
      <c r="H230" t="s">
        <v>218</v>
      </c>
      <c r="I230">
        <v>2932.65</v>
      </c>
      <c r="J230">
        <v>0</v>
      </c>
      <c r="K230" t="s">
        <v>335</v>
      </c>
      <c r="L230" t="s">
        <v>229</v>
      </c>
      <c r="N230" t="s">
        <v>185</v>
      </c>
    </row>
    <row r="231" spans="1:14" x14ac:dyDescent="0.45">
      <c r="A231">
        <v>230</v>
      </c>
      <c r="B231">
        <v>84</v>
      </c>
      <c r="C231" t="s">
        <v>73</v>
      </c>
      <c r="D231" t="s">
        <v>321</v>
      </c>
      <c r="E231">
        <v>6030</v>
      </c>
      <c r="F231" t="s">
        <v>123</v>
      </c>
      <c r="G231" t="s">
        <v>117</v>
      </c>
      <c r="H231" t="s">
        <v>218</v>
      </c>
      <c r="I231">
        <v>4258.16</v>
      </c>
      <c r="J231">
        <v>0</v>
      </c>
      <c r="K231" t="s">
        <v>336</v>
      </c>
      <c r="L231" t="s">
        <v>232</v>
      </c>
      <c r="N231" t="s">
        <v>185</v>
      </c>
    </row>
    <row r="232" spans="1:14" x14ac:dyDescent="0.45">
      <c r="A232">
        <v>231</v>
      </c>
      <c r="B232">
        <v>84</v>
      </c>
      <c r="C232" t="s">
        <v>73</v>
      </c>
      <c r="D232" t="s">
        <v>321</v>
      </c>
      <c r="E232">
        <v>1000</v>
      </c>
      <c r="F232" t="s">
        <v>77</v>
      </c>
      <c r="G232" t="s">
        <v>78</v>
      </c>
      <c r="H232" t="s">
        <v>218</v>
      </c>
      <c r="I232">
        <v>0</v>
      </c>
      <c r="J232">
        <v>4258.16</v>
      </c>
      <c r="K232" t="s">
        <v>336</v>
      </c>
      <c r="L232" t="s">
        <v>232</v>
      </c>
      <c r="N232" t="s">
        <v>185</v>
      </c>
    </row>
    <row r="233" spans="1:14" x14ac:dyDescent="0.45">
      <c r="A233">
        <v>232</v>
      </c>
      <c r="B233">
        <v>85</v>
      </c>
      <c r="C233" t="s">
        <v>73</v>
      </c>
      <c r="D233" t="s">
        <v>323</v>
      </c>
      <c r="E233">
        <v>6040</v>
      </c>
      <c r="F233" t="s">
        <v>125</v>
      </c>
      <c r="G233" t="s">
        <v>117</v>
      </c>
      <c r="H233" t="s">
        <v>218</v>
      </c>
      <c r="I233">
        <v>1959.93</v>
      </c>
      <c r="J233">
        <v>0</v>
      </c>
      <c r="K233" t="s">
        <v>337</v>
      </c>
      <c r="L233" t="s">
        <v>226</v>
      </c>
      <c r="N233" t="s">
        <v>185</v>
      </c>
    </row>
    <row r="234" spans="1:14" x14ac:dyDescent="0.45">
      <c r="A234">
        <v>233</v>
      </c>
      <c r="B234">
        <v>85</v>
      </c>
      <c r="C234" t="s">
        <v>73</v>
      </c>
      <c r="D234" t="s">
        <v>323</v>
      </c>
      <c r="E234">
        <v>1000</v>
      </c>
      <c r="F234" t="s">
        <v>77</v>
      </c>
      <c r="G234" t="s">
        <v>78</v>
      </c>
      <c r="H234" t="s">
        <v>218</v>
      </c>
      <c r="I234">
        <v>0</v>
      </c>
      <c r="J234">
        <v>1567.94</v>
      </c>
      <c r="K234" t="s">
        <v>337</v>
      </c>
      <c r="L234" t="s">
        <v>226</v>
      </c>
      <c r="N234" t="s">
        <v>185</v>
      </c>
    </row>
    <row r="235" spans="1:14" x14ac:dyDescent="0.45">
      <c r="A235">
        <v>234</v>
      </c>
      <c r="B235">
        <v>85</v>
      </c>
      <c r="C235" t="s">
        <v>73</v>
      </c>
      <c r="D235" t="s">
        <v>323</v>
      </c>
      <c r="E235">
        <v>2000</v>
      </c>
      <c r="F235" t="s">
        <v>88</v>
      </c>
      <c r="G235" t="s">
        <v>89</v>
      </c>
      <c r="H235" t="s">
        <v>218</v>
      </c>
      <c r="I235">
        <v>0</v>
      </c>
      <c r="J235">
        <v>391.99</v>
      </c>
      <c r="K235" t="s">
        <v>337</v>
      </c>
      <c r="L235" t="s">
        <v>226</v>
      </c>
      <c r="N235" t="s">
        <v>185</v>
      </c>
    </row>
    <row r="236" spans="1:14" x14ac:dyDescent="0.45">
      <c r="A236">
        <v>235</v>
      </c>
      <c r="B236">
        <v>86</v>
      </c>
      <c r="C236" t="s">
        <v>73</v>
      </c>
      <c r="D236" t="s">
        <v>321</v>
      </c>
      <c r="E236">
        <v>6050</v>
      </c>
      <c r="F236" t="s">
        <v>127</v>
      </c>
      <c r="G236" t="s">
        <v>117</v>
      </c>
      <c r="H236" t="s">
        <v>218</v>
      </c>
      <c r="I236">
        <v>899</v>
      </c>
      <c r="J236">
        <v>0</v>
      </c>
      <c r="K236" t="s">
        <v>338</v>
      </c>
      <c r="L236" t="s">
        <v>236</v>
      </c>
      <c r="N236" t="s">
        <v>185</v>
      </c>
    </row>
    <row r="237" spans="1:14" x14ac:dyDescent="0.45">
      <c r="A237">
        <v>236</v>
      </c>
      <c r="B237">
        <v>86</v>
      </c>
      <c r="C237" t="s">
        <v>73</v>
      </c>
      <c r="D237" t="s">
        <v>321</v>
      </c>
      <c r="E237">
        <v>1200</v>
      </c>
      <c r="F237" t="s">
        <v>82</v>
      </c>
      <c r="G237" t="s">
        <v>78</v>
      </c>
      <c r="H237" t="s">
        <v>218</v>
      </c>
      <c r="I237">
        <v>0</v>
      </c>
      <c r="J237">
        <v>899</v>
      </c>
      <c r="K237" t="s">
        <v>338</v>
      </c>
      <c r="L237" t="s">
        <v>236</v>
      </c>
      <c r="N237" t="s">
        <v>185</v>
      </c>
    </row>
    <row r="238" spans="1:14" x14ac:dyDescent="0.45">
      <c r="A238">
        <v>237</v>
      </c>
      <c r="B238">
        <v>87</v>
      </c>
      <c r="C238" t="s">
        <v>73</v>
      </c>
      <c r="D238" t="s">
        <v>326</v>
      </c>
      <c r="E238">
        <v>6060</v>
      </c>
      <c r="F238" t="s">
        <v>129</v>
      </c>
      <c r="G238" t="s">
        <v>117</v>
      </c>
      <c r="H238" t="s">
        <v>218</v>
      </c>
      <c r="I238">
        <v>1328.04</v>
      </c>
      <c r="J238">
        <v>0</v>
      </c>
      <c r="K238" t="s">
        <v>339</v>
      </c>
      <c r="L238" t="s">
        <v>232</v>
      </c>
      <c r="N238" t="s">
        <v>185</v>
      </c>
    </row>
    <row r="239" spans="1:14" x14ac:dyDescent="0.45">
      <c r="A239">
        <v>238</v>
      </c>
      <c r="B239">
        <v>87</v>
      </c>
      <c r="C239" t="s">
        <v>73</v>
      </c>
      <c r="D239" t="s">
        <v>326</v>
      </c>
      <c r="E239">
        <v>1000</v>
      </c>
      <c r="F239" t="s">
        <v>77</v>
      </c>
      <c r="G239" t="s">
        <v>78</v>
      </c>
      <c r="H239" t="s">
        <v>218</v>
      </c>
      <c r="I239">
        <v>0</v>
      </c>
      <c r="J239">
        <v>1328.04</v>
      </c>
      <c r="K239" t="s">
        <v>339</v>
      </c>
      <c r="L239" t="s">
        <v>232</v>
      </c>
      <c r="N239" t="s">
        <v>185</v>
      </c>
    </row>
    <row r="240" spans="1:14" x14ac:dyDescent="0.45">
      <c r="A240">
        <v>239</v>
      </c>
      <c r="B240">
        <v>88</v>
      </c>
      <c r="C240" t="s">
        <v>73</v>
      </c>
      <c r="D240" t="s">
        <v>328</v>
      </c>
      <c r="E240">
        <v>7000</v>
      </c>
      <c r="F240" t="s">
        <v>133</v>
      </c>
      <c r="G240" t="s">
        <v>117</v>
      </c>
      <c r="H240" t="s">
        <v>218</v>
      </c>
      <c r="I240">
        <v>682</v>
      </c>
      <c r="J240">
        <v>0</v>
      </c>
      <c r="K240" t="s">
        <v>340</v>
      </c>
      <c r="L240" t="s">
        <v>241</v>
      </c>
      <c r="N240" t="s">
        <v>185</v>
      </c>
    </row>
    <row r="241" spans="1:14" x14ac:dyDescent="0.45">
      <c r="A241">
        <v>240</v>
      </c>
      <c r="B241">
        <v>88</v>
      </c>
      <c r="C241" t="s">
        <v>73</v>
      </c>
      <c r="D241" t="s">
        <v>328</v>
      </c>
      <c r="E241">
        <v>1500</v>
      </c>
      <c r="F241" t="s">
        <v>86</v>
      </c>
      <c r="G241" t="s">
        <v>78</v>
      </c>
      <c r="H241" t="s">
        <v>218</v>
      </c>
      <c r="I241">
        <v>0</v>
      </c>
      <c r="J241">
        <v>682</v>
      </c>
      <c r="K241" t="s">
        <v>340</v>
      </c>
      <c r="L241" t="s">
        <v>241</v>
      </c>
      <c r="N241" t="s">
        <v>185</v>
      </c>
    </row>
    <row r="242" spans="1:14" x14ac:dyDescent="0.45">
      <c r="A242">
        <v>241</v>
      </c>
      <c r="B242">
        <v>89</v>
      </c>
      <c r="C242" t="s">
        <v>73</v>
      </c>
      <c r="D242" t="s">
        <v>330</v>
      </c>
      <c r="E242">
        <v>2000</v>
      </c>
      <c r="F242" t="s">
        <v>88</v>
      </c>
      <c r="G242" t="s">
        <v>89</v>
      </c>
      <c r="H242" t="s">
        <v>218</v>
      </c>
      <c r="I242">
        <v>2272.08</v>
      </c>
      <c r="J242">
        <v>0</v>
      </c>
      <c r="K242" t="s">
        <v>341</v>
      </c>
      <c r="L242" t="s">
        <v>232</v>
      </c>
      <c r="N242" t="s">
        <v>185</v>
      </c>
    </row>
    <row r="243" spans="1:14" x14ac:dyDescent="0.45">
      <c r="A243">
        <v>242</v>
      </c>
      <c r="B243">
        <v>89</v>
      </c>
      <c r="C243" t="s">
        <v>73</v>
      </c>
      <c r="D243" t="s">
        <v>330</v>
      </c>
      <c r="E243">
        <v>1000</v>
      </c>
      <c r="F243" t="s">
        <v>77</v>
      </c>
      <c r="G243" t="s">
        <v>78</v>
      </c>
      <c r="H243" t="s">
        <v>218</v>
      </c>
      <c r="I243">
        <v>0</v>
      </c>
      <c r="J243">
        <v>2272.08</v>
      </c>
      <c r="K243" t="s">
        <v>341</v>
      </c>
      <c r="L243" t="s">
        <v>232</v>
      </c>
      <c r="N243" t="s">
        <v>185</v>
      </c>
    </row>
    <row r="244" spans="1:14" x14ac:dyDescent="0.45">
      <c r="A244">
        <v>243</v>
      </c>
      <c r="B244">
        <v>90</v>
      </c>
      <c r="C244" t="s">
        <v>74</v>
      </c>
      <c r="D244" t="s">
        <v>313</v>
      </c>
      <c r="E244">
        <v>1100</v>
      </c>
      <c r="F244" t="s">
        <v>80</v>
      </c>
      <c r="G244" t="s">
        <v>78</v>
      </c>
      <c r="H244" t="s">
        <v>218</v>
      </c>
      <c r="I244">
        <v>57987.91</v>
      </c>
      <c r="J244">
        <v>0</v>
      </c>
      <c r="K244" t="s">
        <v>342</v>
      </c>
      <c r="L244" t="s">
        <v>220</v>
      </c>
      <c r="N244" t="s">
        <v>185</v>
      </c>
    </row>
    <row r="245" spans="1:14" x14ac:dyDescent="0.45">
      <c r="A245">
        <v>244</v>
      </c>
      <c r="B245">
        <v>90</v>
      </c>
      <c r="C245" t="s">
        <v>74</v>
      </c>
      <c r="D245" t="s">
        <v>313</v>
      </c>
      <c r="E245">
        <v>4010</v>
      </c>
      <c r="F245" t="s">
        <v>101</v>
      </c>
      <c r="G245" t="s">
        <v>99</v>
      </c>
      <c r="H245" t="s">
        <v>218</v>
      </c>
      <c r="I245">
        <v>0</v>
      </c>
      <c r="J245">
        <v>24354.92</v>
      </c>
      <c r="K245" t="s">
        <v>342</v>
      </c>
      <c r="L245" t="s">
        <v>220</v>
      </c>
      <c r="N245" t="s">
        <v>185</v>
      </c>
    </row>
    <row r="246" spans="1:14" x14ac:dyDescent="0.45">
      <c r="A246">
        <v>245</v>
      </c>
      <c r="B246">
        <v>90</v>
      </c>
      <c r="C246" t="s">
        <v>74</v>
      </c>
      <c r="D246" t="s">
        <v>313</v>
      </c>
      <c r="E246">
        <v>4020</v>
      </c>
      <c r="F246" t="s">
        <v>103</v>
      </c>
      <c r="G246" t="s">
        <v>99</v>
      </c>
      <c r="H246" t="s">
        <v>218</v>
      </c>
      <c r="I246">
        <v>0</v>
      </c>
      <c r="J246">
        <v>19136.009999999998</v>
      </c>
      <c r="K246" t="s">
        <v>342</v>
      </c>
      <c r="L246" t="s">
        <v>220</v>
      </c>
      <c r="N246" t="s">
        <v>185</v>
      </c>
    </row>
    <row r="247" spans="1:14" x14ac:dyDescent="0.45">
      <c r="A247">
        <v>246</v>
      </c>
      <c r="B247">
        <v>90</v>
      </c>
      <c r="C247" t="s">
        <v>74</v>
      </c>
      <c r="D247" t="s">
        <v>313</v>
      </c>
      <c r="E247">
        <v>4030</v>
      </c>
      <c r="F247" t="s">
        <v>105</v>
      </c>
      <c r="G247" t="s">
        <v>99</v>
      </c>
      <c r="H247" t="s">
        <v>218</v>
      </c>
      <c r="I247">
        <v>0</v>
      </c>
      <c r="J247">
        <v>14496.98</v>
      </c>
      <c r="K247" t="s">
        <v>342</v>
      </c>
      <c r="L247" t="s">
        <v>220</v>
      </c>
      <c r="N247" t="s">
        <v>185</v>
      </c>
    </row>
    <row r="248" spans="1:14" x14ac:dyDescent="0.45">
      <c r="A248">
        <v>247</v>
      </c>
      <c r="B248">
        <v>91</v>
      </c>
      <c r="C248" t="s">
        <v>74</v>
      </c>
      <c r="D248" t="s">
        <v>315</v>
      </c>
      <c r="E248">
        <v>1000</v>
      </c>
      <c r="F248" t="s">
        <v>77</v>
      </c>
      <c r="G248" t="s">
        <v>78</v>
      </c>
      <c r="H248" t="s">
        <v>218</v>
      </c>
      <c r="I248">
        <v>51082.62</v>
      </c>
      <c r="J248">
        <v>0</v>
      </c>
      <c r="K248" t="s">
        <v>343</v>
      </c>
      <c r="L248" t="s">
        <v>223</v>
      </c>
      <c r="N248" t="s">
        <v>185</v>
      </c>
    </row>
    <row r="249" spans="1:14" x14ac:dyDescent="0.45">
      <c r="A249">
        <v>248</v>
      </c>
      <c r="B249">
        <v>91</v>
      </c>
      <c r="C249" t="s">
        <v>74</v>
      </c>
      <c r="D249" t="s">
        <v>315</v>
      </c>
      <c r="E249">
        <v>1100</v>
      </c>
      <c r="F249" t="s">
        <v>80</v>
      </c>
      <c r="G249" t="s">
        <v>78</v>
      </c>
      <c r="H249" t="s">
        <v>218</v>
      </c>
      <c r="I249">
        <v>0</v>
      </c>
      <c r="J249">
        <v>51082.62</v>
      </c>
      <c r="K249" t="s">
        <v>343</v>
      </c>
      <c r="L249" t="s">
        <v>223</v>
      </c>
      <c r="N249" t="s">
        <v>185</v>
      </c>
    </row>
    <row r="250" spans="1:14" x14ac:dyDescent="0.45">
      <c r="A250">
        <v>249</v>
      </c>
      <c r="B250">
        <v>92</v>
      </c>
      <c r="C250" t="s">
        <v>74</v>
      </c>
      <c r="D250" t="s">
        <v>317</v>
      </c>
      <c r="E250">
        <v>5010</v>
      </c>
      <c r="F250" t="s">
        <v>112</v>
      </c>
      <c r="G250" t="s">
        <v>110</v>
      </c>
      <c r="H250" t="s">
        <v>218</v>
      </c>
      <c r="I250">
        <v>3293.33</v>
      </c>
      <c r="J250">
        <v>0</v>
      </c>
      <c r="K250" t="s">
        <v>344</v>
      </c>
      <c r="L250" t="s">
        <v>226</v>
      </c>
      <c r="N250" t="s">
        <v>185</v>
      </c>
    </row>
    <row r="251" spans="1:14" x14ac:dyDescent="0.45">
      <c r="A251">
        <v>250</v>
      </c>
      <c r="B251">
        <v>92</v>
      </c>
      <c r="C251" t="s">
        <v>74</v>
      </c>
      <c r="D251" t="s">
        <v>317</v>
      </c>
      <c r="E251">
        <v>5020</v>
      </c>
      <c r="F251" t="s">
        <v>114</v>
      </c>
      <c r="G251" t="s">
        <v>110</v>
      </c>
      <c r="H251" t="s">
        <v>218</v>
      </c>
      <c r="I251">
        <v>2694.55</v>
      </c>
      <c r="J251">
        <v>0</v>
      </c>
      <c r="K251" t="s">
        <v>344</v>
      </c>
      <c r="L251" t="s">
        <v>226</v>
      </c>
      <c r="N251" t="s">
        <v>185</v>
      </c>
    </row>
    <row r="252" spans="1:14" x14ac:dyDescent="0.45">
      <c r="A252">
        <v>251</v>
      </c>
      <c r="B252">
        <v>92</v>
      </c>
      <c r="C252" t="s">
        <v>74</v>
      </c>
      <c r="D252" t="s">
        <v>317</v>
      </c>
      <c r="E252">
        <v>1000</v>
      </c>
      <c r="F252" t="s">
        <v>77</v>
      </c>
      <c r="G252" t="s">
        <v>78</v>
      </c>
      <c r="H252" t="s">
        <v>218</v>
      </c>
      <c r="I252">
        <v>0</v>
      </c>
      <c r="J252">
        <v>4191.5200000000004</v>
      </c>
      <c r="K252" t="s">
        <v>344</v>
      </c>
      <c r="L252" t="s">
        <v>226</v>
      </c>
      <c r="N252" t="s">
        <v>185</v>
      </c>
    </row>
    <row r="253" spans="1:14" x14ac:dyDescent="0.45">
      <c r="A253">
        <v>252</v>
      </c>
      <c r="B253">
        <v>92</v>
      </c>
      <c r="C253" t="s">
        <v>74</v>
      </c>
      <c r="D253" t="s">
        <v>317</v>
      </c>
      <c r="E253">
        <v>2000</v>
      </c>
      <c r="F253" t="s">
        <v>88</v>
      </c>
      <c r="G253" t="s">
        <v>89</v>
      </c>
      <c r="H253" t="s">
        <v>218</v>
      </c>
      <c r="I253">
        <v>0</v>
      </c>
      <c r="J253">
        <v>1796.36</v>
      </c>
      <c r="K253" t="s">
        <v>344</v>
      </c>
      <c r="L253" t="s">
        <v>226</v>
      </c>
      <c r="N253" t="s">
        <v>185</v>
      </c>
    </row>
    <row r="254" spans="1:14" x14ac:dyDescent="0.45">
      <c r="A254">
        <v>253</v>
      </c>
      <c r="B254">
        <v>93</v>
      </c>
      <c r="C254" t="s">
        <v>74</v>
      </c>
      <c r="D254" t="s">
        <v>319</v>
      </c>
      <c r="E254">
        <v>6010</v>
      </c>
      <c r="F254" t="s">
        <v>119</v>
      </c>
      <c r="G254" t="s">
        <v>117</v>
      </c>
      <c r="H254" t="s">
        <v>218</v>
      </c>
      <c r="I254">
        <v>23091.200000000001</v>
      </c>
      <c r="J254">
        <v>0</v>
      </c>
      <c r="K254" t="s">
        <v>345</v>
      </c>
      <c r="L254" t="s">
        <v>229</v>
      </c>
      <c r="N254" t="s">
        <v>185</v>
      </c>
    </row>
    <row r="255" spans="1:14" x14ac:dyDescent="0.45">
      <c r="A255">
        <v>254</v>
      </c>
      <c r="B255">
        <v>93</v>
      </c>
      <c r="C255" t="s">
        <v>74</v>
      </c>
      <c r="D255" t="s">
        <v>319</v>
      </c>
      <c r="E255">
        <v>6020</v>
      </c>
      <c r="F255" t="s">
        <v>121</v>
      </c>
      <c r="G255" t="s">
        <v>117</v>
      </c>
      <c r="H255" t="s">
        <v>218</v>
      </c>
      <c r="I255">
        <v>3232.77</v>
      </c>
      <c r="J255">
        <v>0</v>
      </c>
      <c r="K255" t="s">
        <v>345</v>
      </c>
      <c r="L255" t="s">
        <v>229</v>
      </c>
      <c r="N255" t="s">
        <v>185</v>
      </c>
    </row>
    <row r="256" spans="1:14" x14ac:dyDescent="0.45">
      <c r="A256">
        <v>255</v>
      </c>
      <c r="B256">
        <v>93</v>
      </c>
      <c r="C256" t="s">
        <v>74</v>
      </c>
      <c r="D256" t="s">
        <v>319</v>
      </c>
      <c r="E256">
        <v>1000</v>
      </c>
      <c r="F256" t="s">
        <v>77</v>
      </c>
      <c r="G256" t="s">
        <v>78</v>
      </c>
      <c r="H256" t="s">
        <v>218</v>
      </c>
      <c r="I256">
        <v>0</v>
      </c>
      <c r="J256">
        <v>26293.119999999999</v>
      </c>
      <c r="K256" t="s">
        <v>345</v>
      </c>
      <c r="L256" t="s">
        <v>229</v>
      </c>
      <c r="N256" t="s">
        <v>185</v>
      </c>
    </row>
    <row r="257" spans="1:14" x14ac:dyDescent="0.45">
      <c r="A257">
        <v>256</v>
      </c>
      <c r="B257">
        <v>93</v>
      </c>
      <c r="C257" t="s">
        <v>74</v>
      </c>
      <c r="D257" t="s">
        <v>319</v>
      </c>
      <c r="E257">
        <v>2100</v>
      </c>
      <c r="F257" t="s">
        <v>91</v>
      </c>
      <c r="G257" t="s">
        <v>89</v>
      </c>
      <c r="H257" t="s">
        <v>218</v>
      </c>
      <c r="I257">
        <v>0</v>
      </c>
      <c r="J257">
        <v>2632.4</v>
      </c>
      <c r="K257" t="s">
        <v>345</v>
      </c>
      <c r="L257" t="s">
        <v>229</v>
      </c>
      <c r="N257" t="s">
        <v>185</v>
      </c>
    </row>
    <row r="258" spans="1:14" x14ac:dyDescent="0.45">
      <c r="A258">
        <v>257</v>
      </c>
      <c r="B258">
        <v>93</v>
      </c>
      <c r="C258" t="s">
        <v>74</v>
      </c>
      <c r="D258" t="s">
        <v>319</v>
      </c>
      <c r="E258">
        <v>2100</v>
      </c>
      <c r="F258" t="s">
        <v>91</v>
      </c>
      <c r="G258" t="s">
        <v>89</v>
      </c>
      <c r="H258" t="s">
        <v>218</v>
      </c>
      <c r="I258">
        <v>2601.5500000000002</v>
      </c>
      <c r="J258">
        <v>0</v>
      </c>
      <c r="K258" t="s">
        <v>345</v>
      </c>
      <c r="L258" t="s">
        <v>229</v>
      </c>
      <c r="N258" t="s">
        <v>185</v>
      </c>
    </row>
    <row r="259" spans="1:14" x14ac:dyDescent="0.45">
      <c r="A259">
        <v>258</v>
      </c>
      <c r="B259">
        <v>94</v>
      </c>
      <c r="C259" t="s">
        <v>74</v>
      </c>
      <c r="D259" t="s">
        <v>321</v>
      </c>
      <c r="E259">
        <v>6030</v>
      </c>
      <c r="F259" t="s">
        <v>123</v>
      </c>
      <c r="G259" t="s">
        <v>117</v>
      </c>
      <c r="H259" t="s">
        <v>218</v>
      </c>
      <c r="I259">
        <v>3777.4</v>
      </c>
      <c r="J259">
        <v>0</v>
      </c>
      <c r="K259" t="s">
        <v>346</v>
      </c>
      <c r="L259" t="s">
        <v>232</v>
      </c>
      <c r="N259" t="s">
        <v>185</v>
      </c>
    </row>
    <row r="260" spans="1:14" x14ac:dyDescent="0.45">
      <c r="A260">
        <v>259</v>
      </c>
      <c r="B260">
        <v>94</v>
      </c>
      <c r="C260" t="s">
        <v>74</v>
      </c>
      <c r="D260" t="s">
        <v>321</v>
      </c>
      <c r="E260">
        <v>1000</v>
      </c>
      <c r="F260" t="s">
        <v>77</v>
      </c>
      <c r="G260" t="s">
        <v>78</v>
      </c>
      <c r="H260" t="s">
        <v>218</v>
      </c>
      <c r="I260">
        <v>0</v>
      </c>
      <c r="J260">
        <v>3777.4</v>
      </c>
      <c r="K260" t="s">
        <v>346</v>
      </c>
      <c r="L260" t="s">
        <v>232</v>
      </c>
      <c r="N260" t="s">
        <v>185</v>
      </c>
    </row>
    <row r="261" spans="1:14" x14ac:dyDescent="0.45">
      <c r="A261">
        <v>260</v>
      </c>
      <c r="B261">
        <v>95</v>
      </c>
      <c r="C261" t="s">
        <v>74</v>
      </c>
      <c r="D261" t="s">
        <v>323</v>
      </c>
      <c r="E261">
        <v>6040</v>
      </c>
      <c r="F261" t="s">
        <v>125</v>
      </c>
      <c r="G261" t="s">
        <v>117</v>
      </c>
      <c r="H261" t="s">
        <v>218</v>
      </c>
      <c r="I261">
        <v>1969.7</v>
      </c>
      <c r="J261">
        <v>0</v>
      </c>
      <c r="K261" t="s">
        <v>347</v>
      </c>
      <c r="L261" t="s">
        <v>226</v>
      </c>
      <c r="N261" t="s">
        <v>185</v>
      </c>
    </row>
    <row r="262" spans="1:14" x14ac:dyDescent="0.45">
      <c r="A262">
        <v>261</v>
      </c>
      <c r="B262">
        <v>95</v>
      </c>
      <c r="C262" t="s">
        <v>74</v>
      </c>
      <c r="D262" t="s">
        <v>323</v>
      </c>
      <c r="E262">
        <v>1000</v>
      </c>
      <c r="F262" t="s">
        <v>77</v>
      </c>
      <c r="G262" t="s">
        <v>78</v>
      </c>
      <c r="H262" t="s">
        <v>218</v>
      </c>
      <c r="I262">
        <v>0</v>
      </c>
      <c r="J262">
        <v>1575.76</v>
      </c>
      <c r="K262" t="s">
        <v>347</v>
      </c>
      <c r="L262" t="s">
        <v>226</v>
      </c>
      <c r="N262" t="s">
        <v>185</v>
      </c>
    </row>
    <row r="263" spans="1:14" x14ac:dyDescent="0.45">
      <c r="A263">
        <v>262</v>
      </c>
      <c r="B263">
        <v>95</v>
      </c>
      <c r="C263" t="s">
        <v>74</v>
      </c>
      <c r="D263" t="s">
        <v>323</v>
      </c>
      <c r="E263">
        <v>2000</v>
      </c>
      <c r="F263" t="s">
        <v>88</v>
      </c>
      <c r="G263" t="s">
        <v>89</v>
      </c>
      <c r="H263" t="s">
        <v>218</v>
      </c>
      <c r="I263">
        <v>0</v>
      </c>
      <c r="J263">
        <v>393.94</v>
      </c>
      <c r="K263" t="s">
        <v>347</v>
      </c>
      <c r="L263" t="s">
        <v>226</v>
      </c>
      <c r="N263" t="s">
        <v>185</v>
      </c>
    </row>
    <row r="264" spans="1:14" x14ac:dyDescent="0.45">
      <c r="A264">
        <v>263</v>
      </c>
      <c r="B264">
        <v>96</v>
      </c>
      <c r="C264" t="s">
        <v>74</v>
      </c>
      <c r="D264" t="s">
        <v>321</v>
      </c>
      <c r="E264">
        <v>6050</v>
      </c>
      <c r="F264" t="s">
        <v>127</v>
      </c>
      <c r="G264" t="s">
        <v>117</v>
      </c>
      <c r="H264" t="s">
        <v>218</v>
      </c>
      <c r="I264">
        <v>797.5</v>
      </c>
      <c r="J264">
        <v>0</v>
      </c>
      <c r="K264" t="s">
        <v>348</v>
      </c>
      <c r="L264" t="s">
        <v>236</v>
      </c>
      <c r="N264" t="s">
        <v>185</v>
      </c>
    </row>
    <row r="265" spans="1:14" x14ac:dyDescent="0.45">
      <c r="A265">
        <v>264</v>
      </c>
      <c r="B265">
        <v>96</v>
      </c>
      <c r="C265" t="s">
        <v>74</v>
      </c>
      <c r="D265" t="s">
        <v>321</v>
      </c>
      <c r="E265">
        <v>1200</v>
      </c>
      <c r="F265" t="s">
        <v>82</v>
      </c>
      <c r="G265" t="s">
        <v>78</v>
      </c>
      <c r="H265" t="s">
        <v>218</v>
      </c>
      <c r="I265">
        <v>0</v>
      </c>
      <c r="J265">
        <v>797.5</v>
      </c>
      <c r="K265" t="s">
        <v>348</v>
      </c>
      <c r="L265" t="s">
        <v>236</v>
      </c>
      <c r="N265" t="s">
        <v>185</v>
      </c>
    </row>
    <row r="266" spans="1:14" x14ac:dyDescent="0.45">
      <c r="A266">
        <v>265</v>
      </c>
      <c r="B266">
        <v>97</v>
      </c>
      <c r="C266" t="s">
        <v>74</v>
      </c>
      <c r="D266" t="s">
        <v>326</v>
      </c>
      <c r="E266">
        <v>6060</v>
      </c>
      <c r="F266" t="s">
        <v>129</v>
      </c>
      <c r="G266" t="s">
        <v>117</v>
      </c>
      <c r="H266" t="s">
        <v>218</v>
      </c>
      <c r="I266">
        <v>1178.0999999999999</v>
      </c>
      <c r="J266">
        <v>0</v>
      </c>
      <c r="K266" t="s">
        <v>349</v>
      </c>
      <c r="L266" t="s">
        <v>232</v>
      </c>
      <c r="N266" t="s">
        <v>185</v>
      </c>
    </row>
    <row r="267" spans="1:14" x14ac:dyDescent="0.45">
      <c r="A267">
        <v>266</v>
      </c>
      <c r="B267">
        <v>97</v>
      </c>
      <c r="C267" t="s">
        <v>74</v>
      </c>
      <c r="D267" t="s">
        <v>326</v>
      </c>
      <c r="E267">
        <v>1000</v>
      </c>
      <c r="F267" t="s">
        <v>77</v>
      </c>
      <c r="G267" t="s">
        <v>78</v>
      </c>
      <c r="H267" t="s">
        <v>218</v>
      </c>
      <c r="I267">
        <v>0</v>
      </c>
      <c r="J267">
        <v>1178.0999999999999</v>
      </c>
      <c r="K267" t="s">
        <v>349</v>
      </c>
      <c r="L267" t="s">
        <v>232</v>
      </c>
      <c r="N267" t="s">
        <v>185</v>
      </c>
    </row>
    <row r="268" spans="1:14" x14ac:dyDescent="0.45">
      <c r="A268">
        <v>267</v>
      </c>
      <c r="B268">
        <v>98</v>
      </c>
      <c r="C268" t="s">
        <v>74</v>
      </c>
      <c r="D268" t="s">
        <v>328</v>
      </c>
      <c r="E268">
        <v>7000</v>
      </c>
      <c r="F268" t="s">
        <v>133</v>
      </c>
      <c r="G268" t="s">
        <v>117</v>
      </c>
      <c r="H268" t="s">
        <v>218</v>
      </c>
      <c r="I268">
        <v>605</v>
      </c>
      <c r="J268">
        <v>0</v>
      </c>
      <c r="K268" t="s">
        <v>350</v>
      </c>
      <c r="L268" t="s">
        <v>241</v>
      </c>
      <c r="N268" t="s">
        <v>185</v>
      </c>
    </row>
    <row r="269" spans="1:14" x14ac:dyDescent="0.45">
      <c r="A269">
        <v>268</v>
      </c>
      <c r="B269">
        <v>98</v>
      </c>
      <c r="C269" t="s">
        <v>74</v>
      </c>
      <c r="D269" t="s">
        <v>328</v>
      </c>
      <c r="E269">
        <v>1500</v>
      </c>
      <c r="F269" t="s">
        <v>86</v>
      </c>
      <c r="G269" t="s">
        <v>78</v>
      </c>
      <c r="H269" t="s">
        <v>218</v>
      </c>
      <c r="I269">
        <v>0</v>
      </c>
      <c r="J269">
        <v>605</v>
      </c>
      <c r="K269" t="s">
        <v>350</v>
      </c>
      <c r="L269" t="s">
        <v>241</v>
      </c>
      <c r="N269" t="s">
        <v>185</v>
      </c>
    </row>
    <row r="270" spans="1:14" x14ac:dyDescent="0.45">
      <c r="A270">
        <v>269</v>
      </c>
      <c r="B270">
        <v>99</v>
      </c>
      <c r="C270" t="s">
        <v>74</v>
      </c>
      <c r="D270" t="s">
        <v>330</v>
      </c>
      <c r="E270">
        <v>2000</v>
      </c>
      <c r="F270" t="s">
        <v>88</v>
      </c>
      <c r="G270" t="s">
        <v>89</v>
      </c>
      <c r="H270" t="s">
        <v>218</v>
      </c>
      <c r="I270">
        <v>2166.44</v>
      </c>
      <c r="J270">
        <v>0</v>
      </c>
      <c r="K270" t="s">
        <v>351</v>
      </c>
      <c r="L270" t="s">
        <v>232</v>
      </c>
      <c r="N270" t="s">
        <v>185</v>
      </c>
    </row>
    <row r="271" spans="1:14" x14ac:dyDescent="0.45">
      <c r="A271">
        <v>270</v>
      </c>
      <c r="B271">
        <v>99</v>
      </c>
      <c r="C271" t="s">
        <v>74</v>
      </c>
      <c r="D271" t="s">
        <v>330</v>
      </c>
      <c r="E271">
        <v>1000</v>
      </c>
      <c r="F271" t="s">
        <v>77</v>
      </c>
      <c r="G271" t="s">
        <v>78</v>
      </c>
      <c r="H271" t="s">
        <v>218</v>
      </c>
      <c r="I271">
        <v>0</v>
      </c>
      <c r="J271">
        <v>2166.44</v>
      </c>
      <c r="K271" t="s">
        <v>351</v>
      </c>
      <c r="L271" t="s">
        <v>232</v>
      </c>
      <c r="N271" t="s">
        <v>185</v>
      </c>
    </row>
    <row r="272" spans="1:14" x14ac:dyDescent="0.45">
      <c r="A272">
        <v>271</v>
      </c>
      <c r="B272">
        <v>100</v>
      </c>
      <c r="C272" t="s">
        <v>72</v>
      </c>
      <c r="D272" t="s">
        <v>352</v>
      </c>
      <c r="E272">
        <v>1300</v>
      </c>
      <c r="F272" t="s">
        <v>84</v>
      </c>
      <c r="G272" t="s">
        <v>78</v>
      </c>
      <c r="H272" t="s">
        <v>261</v>
      </c>
      <c r="I272">
        <v>3288.48</v>
      </c>
      <c r="J272">
        <v>0</v>
      </c>
      <c r="K272" t="s">
        <v>353</v>
      </c>
      <c r="L272" t="s">
        <v>263</v>
      </c>
      <c r="M272" t="s">
        <v>73</v>
      </c>
      <c r="N272" t="s">
        <v>185</v>
      </c>
    </row>
    <row r="273" spans="1:14" x14ac:dyDescent="0.45">
      <c r="A273">
        <v>272</v>
      </c>
      <c r="B273">
        <v>100</v>
      </c>
      <c r="C273" t="s">
        <v>72</v>
      </c>
      <c r="D273" t="s">
        <v>352</v>
      </c>
      <c r="E273">
        <v>4090</v>
      </c>
      <c r="F273" t="s">
        <v>107</v>
      </c>
      <c r="G273" t="s">
        <v>99</v>
      </c>
      <c r="H273" t="s">
        <v>261</v>
      </c>
      <c r="I273">
        <v>0</v>
      </c>
      <c r="J273">
        <v>3288.48</v>
      </c>
      <c r="K273" t="s">
        <v>353</v>
      </c>
      <c r="L273" t="s">
        <v>263</v>
      </c>
      <c r="M273" t="s">
        <v>73</v>
      </c>
      <c r="N273" t="s">
        <v>185</v>
      </c>
    </row>
    <row r="274" spans="1:14" x14ac:dyDescent="0.45">
      <c r="A274">
        <v>273</v>
      </c>
      <c r="B274">
        <v>101</v>
      </c>
      <c r="C274" t="s">
        <v>73</v>
      </c>
      <c r="D274" t="s">
        <v>352</v>
      </c>
      <c r="E274">
        <v>6070</v>
      </c>
      <c r="F274" t="s">
        <v>131</v>
      </c>
      <c r="G274" t="s">
        <v>117</v>
      </c>
      <c r="H274" t="s">
        <v>261</v>
      </c>
      <c r="I274">
        <v>3288.48</v>
      </c>
      <c r="J274">
        <v>0</v>
      </c>
      <c r="K274" t="s">
        <v>354</v>
      </c>
      <c r="L274" t="s">
        <v>263</v>
      </c>
      <c r="M274" t="s">
        <v>72</v>
      </c>
      <c r="N274" t="s">
        <v>185</v>
      </c>
    </row>
    <row r="275" spans="1:14" x14ac:dyDescent="0.45">
      <c r="A275">
        <v>274</v>
      </c>
      <c r="B275">
        <v>101</v>
      </c>
      <c r="C275" t="s">
        <v>73</v>
      </c>
      <c r="D275" t="s">
        <v>352</v>
      </c>
      <c r="E275">
        <v>2200</v>
      </c>
      <c r="F275" t="s">
        <v>93</v>
      </c>
      <c r="G275" t="s">
        <v>89</v>
      </c>
      <c r="H275" t="s">
        <v>261</v>
      </c>
      <c r="I275">
        <v>0</v>
      </c>
      <c r="J275">
        <v>3288.48</v>
      </c>
      <c r="K275" t="s">
        <v>354</v>
      </c>
      <c r="L275" t="s">
        <v>263</v>
      </c>
      <c r="M275" t="s">
        <v>72</v>
      </c>
      <c r="N275" t="s">
        <v>185</v>
      </c>
    </row>
    <row r="276" spans="1:14" x14ac:dyDescent="0.45">
      <c r="A276">
        <v>275</v>
      </c>
      <c r="B276">
        <v>102</v>
      </c>
      <c r="C276" t="s">
        <v>73</v>
      </c>
      <c r="D276" t="s">
        <v>315</v>
      </c>
      <c r="E276">
        <v>2200</v>
      </c>
      <c r="F276" t="s">
        <v>93</v>
      </c>
      <c r="G276" t="s">
        <v>89</v>
      </c>
      <c r="H276" t="s">
        <v>261</v>
      </c>
      <c r="I276">
        <v>3256.24</v>
      </c>
      <c r="J276">
        <v>0</v>
      </c>
      <c r="K276" t="s">
        <v>355</v>
      </c>
      <c r="L276" t="s">
        <v>309</v>
      </c>
      <c r="M276" t="s">
        <v>72</v>
      </c>
      <c r="N276" t="s">
        <v>185</v>
      </c>
    </row>
    <row r="277" spans="1:14" x14ac:dyDescent="0.45">
      <c r="A277">
        <v>276</v>
      </c>
      <c r="B277">
        <v>102</v>
      </c>
      <c r="C277" t="s">
        <v>73</v>
      </c>
      <c r="D277" t="s">
        <v>315</v>
      </c>
      <c r="E277">
        <v>1000</v>
      </c>
      <c r="F277" t="s">
        <v>77</v>
      </c>
      <c r="G277" t="s">
        <v>78</v>
      </c>
      <c r="H277" t="s">
        <v>218</v>
      </c>
      <c r="I277">
        <v>0</v>
      </c>
      <c r="J277">
        <v>3256.24</v>
      </c>
      <c r="K277" t="s">
        <v>355</v>
      </c>
      <c r="L277" t="s">
        <v>309</v>
      </c>
      <c r="M277" t="s">
        <v>72</v>
      </c>
      <c r="N277" t="s">
        <v>185</v>
      </c>
    </row>
    <row r="278" spans="1:14" x14ac:dyDescent="0.45">
      <c r="A278">
        <v>277</v>
      </c>
      <c r="B278">
        <v>103</v>
      </c>
      <c r="C278" t="s">
        <v>72</v>
      </c>
      <c r="D278" t="s">
        <v>315</v>
      </c>
      <c r="E278">
        <v>1000</v>
      </c>
      <c r="F278" t="s">
        <v>77</v>
      </c>
      <c r="G278" t="s">
        <v>78</v>
      </c>
      <c r="H278" t="s">
        <v>218</v>
      </c>
      <c r="I278">
        <v>3256.24</v>
      </c>
      <c r="J278">
        <v>0</v>
      </c>
      <c r="K278" t="s">
        <v>356</v>
      </c>
      <c r="L278" t="s">
        <v>309</v>
      </c>
      <c r="M278" t="s">
        <v>73</v>
      </c>
      <c r="N278" t="s">
        <v>185</v>
      </c>
    </row>
    <row r="279" spans="1:14" x14ac:dyDescent="0.45">
      <c r="A279">
        <v>278</v>
      </c>
      <c r="B279">
        <v>103</v>
      </c>
      <c r="C279" t="s">
        <v>72</v>
      </c>
      <c r="D279" t="s">
        <v>315</v>
      </c>
      <c r="E279">
        <v>1300</v>
      </c>
      <c r="F279" t="s">
        <v>84</v>
      </c>
      <c r="G279" t="s">
        <v>78</v>
      </c>
      <c r="H279" t="s">
        <v>261</v>
      </c>
      <c r="I279">
        <v>0</v>
      </c>
      <c r="J279">
        <v>3256.24</v>
      </c>
      <c r="K279" t="s">
        <v>356</v>
      </c>
      <c r="L279" t="s">
        <v>309</v>
      </c>
      <c r="M279" t="s">
        <v>73</v>
      </c>
      <c r="N279" t="s">
        <v>185</v>
      </c>
    </row>
    <row r="280" spans="1:14" x14ac:dyDescent="0.45">
      <c r="A280">
        <v>279</v>
      </c>
      <c r="B280">
        <v>104</v>
      </c>
      <c r="C280" t="s">
        <v>72</v>
      </c>
      <c r="D280" t="s">
        <v>352</v>
      </c>
      <c r="E280">
        <v>1300</v>
      </c>
      <c r="F280" t="s">
        <v>84</v>
      </c>
      <c r="G280" t="s">
        <v>78</v>
      </c>
      <c r="H280" t="s">
        <v>261</v>
      </c>
      <c r="I280">
        <v>2917.2</v>
      </c>
      <c r="J280">
        <v>0</v>
      </c>
      <c r="K280" t="s">
        <v>357</v>
      </c>
      <c r="L280" t="s">
        <v>263</v>
      </c>
      <c r="M280" t="s">
        <v>74</v>
      </c>
      <c r="N280" t="s">
        <v>185</v>
      </c>
    </row>
    <row r="281" spans="1:14" x14ac:dyDescent="0.45">
      <c r="A281">
        <v>280</v>
      </c>
      <c r="B281">
        <v>104</v>
      </c>
      <c r="C281" t="s">
        <v>72</v>
      </c>
      <c r="D281" t="s">
        <v>352</v>
      </c>
      <c r="E281">
        <v>4090</v>
      </c>
      <c r="F281" t="s">
        <v>107</v>
      </c>
      <c r="G281" t="s">
        <v>99</v>
      </c>
      <c r="H281" t="s">
        <v>261</v>
      </c>
      <c r="I281">
        <v>0</v>
      </c>
      <c r="J281">
        <v>2917.2</v>
      </c>
      <c r="K281" t="s">
        <v>357</v>
      </c>
      <c r="L281" t="s">
        <v>263</v>
      </c>
      <c r="M281" t="s">
        <v>74</v>
      </c>
      <c r="N281" t="s">
        <v>185</v>
      </c>
    </row>
    <row r="282" spans="1:14" x14ac:dyDescent="0.45">
      <c r="A282">
        <v>281</v>
      </c>
      <c r="B282">
        <v>105</v>
      </c>
      <c r="C282" t="s">
        <v>74</v>
      </c>
      <c r="D282" t="s">
        <v>352</v>
      </c>
      <c r="E282">
        <v>6070</v>
      </c>
      <c r="F282" t="s">
        <v>131</v>
      </c>
      <c r="G282" t="s">
        <v>117</v>
      </c>
      <c r="H282" t="s">
        <v>261</v>
      </c>
      <c r="I282">
        <v>2917.2</v>
      </c>
      <c r="J282">
        <v>0</v>
      </c>
      <c r="K282" t="s">
        <v>354</v>
      </c>
      <c r="L282" t="s">
        <v>263</v>
      </c>
      <c r="M282" t="s">
        <v>72</v>
      </c>
      <c r="N282" t="s">
        <v>185</v>
      </c>
    </row>
    <row r="283" spans="1:14" x14ac:dyDescent="0.45">
      <c r="A283">
        <v>282</v>
      </c>
      <c r="B283">
        <v>105</v>
      </c>
      <c r="C283" t="s">
        <v>74</v>
      </c>
      <c r="D283" t="s">
        <v>352</v>
      </c>
      <c r="E283">
        <v>2200</v>
      </c>
      <c r="F283" t="s">
        <v>93</v>
      </c>
      <c r="G283" t="s">
        <v>89</v>
      </c>
      <c r="H283" t="s">
        <v>261</v>
      </c>
      <c r="I283">
        <v>0</v>
      </c>
      <c r="J283">
        <v>2917.2</v>
      </c>
      <c r="K283" t="s">
        <v>354</v>
      </c>
      <c r="L283" t="s">
        <v>263</v>
      </c>
      <c r="M283" t="s">
        <v>72</v>
      </c>
      <c r="N283" t="s">
        <v>185</v>
      </c>
    </row>
    <row r="284" spans="1:14" x14ac:dyDescent="0.45">
      <c r="A284">
        <v>283</v>
      </c>
      <c r="B284">
        <v>106</v>
      </c>
      <c r="C284" t="s">
        <v>74</v>
      </c>
      <c r="D284" t="s">
        <v>315</v>
      </c>
      <c r="E284">
        <v>2200</v>
      </c>
      <c r="F284" t="s">
        <v>93</v>
      </c>
      <c r="G284" t="s">
        <v>89</v>
      </c>
      <c r="H284" t="s">
        <v>261</v>
      </c>
      <c r="I284">
        <v>2888.6</v>
      </c>
      <c r="J284">
        <v>0</v>
      </c>
      <c r="K284" t="s">
        <v>355</v>
      </c>
      <c r="L284" t="s">
        <v>309</v>
      </c>
      <c r="M284" t="s">
        <v>72</v>
      </c>
      <c r="N284" t="s">
        <v>185</v>
      </c>
    </row>
    <row r="285" spans="1:14" x14ac:dyDescent="0.45">
      <c r="A285">
        <v>284</v>
      </c>
      <c r="B285">
        <v>106</v>
      </c>
      <c r="C285" t="s">
        <v>74</v>
      </c>
      <c r="D285" t="s">
        <v>315</v>
      </c>
      <c r="E285">
        <v>1000</v>
      </c>
      <c r="F285" t="s">
        <v>77</v>
      </c>
      <c r="G285" t="s">
        <v>78</v>
      </c>
      <c r="H285" t="s">
        <v>218</v>
      </c>
      <c r="I285">
        <v>0</v>
      </c>
      <c r="J285">
        <v>2888.6</v>
      </c>
      <c r="K285" t="s">
        <v>355</v>
      </c>
      <c r="L285" t="s">
        <v>309</v>
      </c>
      <c r="M285" t="s">
        <v>72</v>
      </c>
      <c r="N285" t="s">
        <v>185</v>
      </c>
    </row>
    <row r="286" spans="1:14" x14ac:dyDescent="0.45">
      <c r="A286">
        <v>285</v>
      </c>
      <c r="B286">
        <v>107</v>
      </c>
      <c r="C286" t="s">
        <v>72</v>
      </c>
      <c r="D286" t="s">
        <v>315</v>
      </c>
      <c r="E286">
        <v>1000</v>
      </c>
      <c r="F286" t="s">
        <v>77</v>
      </c>
      <c r="G286" t="s">
        <v>78</v>
      </c>
      <c r="H286" t="s">
        <v>218</v>
      </c>
      <c r="I286">
        <v>2888.6</v>
      </c>
      <c r="J286">
        <v>0</v>
      </c>
      <c r="K286" t="s">
        <v>358</v>
      </c>
      <c r="L286" t="s">
        <v>309</v>
      </c>
      <c r="M286" t="s">
        <v>74</v>
      </c>
      <c r="N286" t="s">
        <v>185</v>
      </c>
    </row>
    <row r="287" spans="1:14" x14ac:dyDescent="0.45">
      <c r="A287">
        <v>286</v>
      </c>
      <c r="B287">
        <v>107</v>
      </c>
      <c r="C287" t="s">
        <v>72</v>
      </c>
      <c r="D287" t="s">
        <v>315</v>
      </c>
      <c r="E287">
        <v>1300</v>
      </c>
      <c r="F287" t="s">
        <v>84</v>
      </c>
      <c r="G287" t="s">
        <v>78</v>
      </c>
      <c r="H287" t="s">
        <v>261</v>
      </c>
      <c r="I287">
        <v>0</v>
      </c>
      <c r="J287">
        <v>2888.6</v>
      </c>
      <c r="K287" t="s">
        <v>358</v>
      </c>
      <c r="L287" t="s">
        <v>309</v>
      </c>
      <c r="M287" t="s">
        <v>74</v>
      </c>
      <c r="N287" t="s">
        <v>185</v>
      </c>
    </row>
    <row r="288" spans="1:14" x14ac:dyDescent="0.45">
      <c r="A288">
        <v>287</v>
      </c>
      <c r="B288">
        <v>108</v>
      </c>
      <c r="C288" t="s">
        <v>72</v>
      </c>
      <c r="D288" t="s">
        <v>359</v>
      </c>
      <c r="E288">
        <v>1100</v>
      </c>
      <c r="F288" t="s">
        <v>80</v>
      </c>
      <c r="G288" t="s">
        <v>78</v>
      </c>
      <c r="H288" t="s">
        <v>218</v>
      </c>
      <c r="I288">
        <v>95294.77</v>
      </c>
      <c r="J288">
        <v>0</v>
      </c>
      <c r="K288" t="s">
        <v>360</v>
      </c>
      <c r="L288" t="s">
        <v>220</v>
      </c>
      <c r="N288" t="s">
        <v>186</v>
      </c>
    </row>
    <row r="289" spans="1:14" x14ac:dyDescent="0.45">
      <c r="A289">
        <v>288</v>
      </c>
      <c r="B289">
        <v>108</v>
      </c>
      <c r="C289" t="s">
        <v>72</v>
      </c>
      <c r="D289" t="s">
        <v>359</v>
      </c>
      <c r="E289">
        <v>4010</v>
      </c>
      <c r="F289" t="s">
        <v>101</v>
      </c>
      <c r="G289" t="s">
        <v>99</v>
      </c>
      <c r="H289" t="s">
        <v>218</v>
      </c>
      <c r="I289">
        <v>0</v>
      </c>
      <c r="J289">
        <v>40023.800000000003</v>
      </c>
      <c r="K289" t="s">
        <v>360</v>
      </c>
      <c r="L289" t="s">
        <v>220</v>
      </c>
      <c r="N289" t="s">
        <v>186</v>
      </c>
    </row>
    <row r="290" spans="1:14" x14ac:dyDescent="0.45">
      <c r="A290">
        <v>289</v>
      </c>
      <c r="B290">
        <v>108</v>
      </c>
      <c r="C290" t="s">
        <v>72</v>
      </c>
      <c r="D290" t="s">
        <v>359</v>
      </c>
      <c r="E290">
        <v>4020</v>
      </c>
      <c r="F290" t="s">
        <v>103</v>
      </c>
      <c r="G290" t="s">
        <v>99</v>
      </c>
      <c r="H290" t="s">
        <v>218</v>
      </c>
      <c r="I290">
        <v>0</v>
      </c>
      <c r="J290">
        <v>31447.27</v>
      </c>
      <c r="K290" t="s">
        <v>360</v>
      </c>
      <c r="L290" t="s">
        <v>220</v>
      </c>
      <c r="N290" t="s">
        <v>186</v>
      </c>
    </row>
    <row r="291" spans="1:14" x14ac:dyDescent="0.45">
      <c r="A291">
        <v>290</v>
      </c>
      <c r="B291">
        <v>108</v>
      </c>
      <c r="C291" t="s">
        <v>72</v>
      </c>
      <c r="D291" t="s">
        <v>359</v>
      </c>
      <c r="E291">
        <v>4030</v>
      </c>
      <c r="F291" t="s">
        <v>105</v>
      </c>
      <c r="G291" t="s">
        <v>99</v>
      </c>
      <c r="H291" t="s">
        <v>218</v>
      </c>
      <c r="I291">
        <v>0</v>
      </c>
      <c r="J291">
        <v>23823.7</v>
      </c>
      <c r="K291" t="s">
        <v>360</v>
      </c>
      <c r="L291" t="s">
        <v>220</v>
      </c>
      <c r="N291" t="s">
        <v>186</v>
      </c>
    </row>
    <row r="292" spans="1:14" x14ac:dyDescent="0.45">
      <c r="A292">
        <v>291</v>
      </c>
      <c r="B292">
        <v>109</v>
      </c>
      <c r="C292" t="s">
        <v>72</v>
      </c>
      <c r="D292" t="s">
        <v>361</v>
      </c>
      <c r="E292">
        <v>1000</v>
      </c>
      <c r="F292" t="s">
        <v>77</v>
      </c>
      <c r="G292" t="s">
        <v>78</v>
      </c>
      <c r="H292" t="s">
        <v>218</v>
      </c>
      <c r="I292">
        <v>87675.66</v>
      </c>
      <c r="J292">
        <v>0</v>
      </c>
      <c r="K292" t="s">
        <v>362</v>
      </c>
      <c r="L292" t="s">
        <v>223</v>
      </c>
      <c r="N292" t="s">
        <v>186</v>
      </c>
    </row>
    <row r="293" spans="1:14" x14ac:dyDescent="0.45">
      <c r="A293">
        <v>292</v>
      </c>
      <c r="B293">
        <v>109</v>
      </c>
      <c r="C293" t="s">
        <v>72</v>
      </c>
      <c r="D293" t="s">
        <v>361</v>
      </c>
      <c r="E293">
        <v>1100</v>
      </c>
      <c r="F293" t="s">
        <v>80</v>
      </c>
      <c r="G293" t="s">
        <v>78</v>
      </c>
      <c r="H293" t="s">
        <v>218</v>
      </c>
      <c r="I293">
        <v>0</v>
      </c>
      <c r="J293">
        <v>87675.66</v>
      </c>
      <c r="K293" t="s">
        <v>362</v>
      </c>
      <c r="L293" t="s">
        <v>223</v>
      </c>
      <c r="N293" t="s">
        <v>186</v>
      </c>
    </row>
    <row r="294" spans="1:14" x14ac:dyDescent="0.45">
      <c r="A294">
        <v>293</v>
      </c>
      <c r="B294">
        <v>110</v>
      </c>
      <c r="C294" t="s">
        <v>72</v>
      </c>
      <c r="D294" t="s">
        <v>363</v>
      </c>
      <c r="E294">
        <v>5010</v>
      </c>
      <c r="F294" t="s">
        <v>112</v>
      </c>
      <c r="G294" t="s">
        <v>110</v>
      </c>
      <c r="H294" t="s">
        <v>218</v>
      </c>
      <c r="I294">
        <v>5412.12</v>
      </c>
      <c r="J294">
        <v>0</v>
      </c>
      <c r="K294" t="s">
        <v>364</v>
      </c>
      <c r="L294" t="s">
        <v>226</v>
      </c>
      <c r="N294" t="s">
        <v>186</v>
      </c>
    </row>
    <row r="295" spans="1:14" x14ac:dyDescent="0.45">
      <c r="A295">
        <v>294</v>
      </c>
      <c r="B295">
        <v>110</v>
      </c>
      <c r="C295" t="s">
        <v>72</v>
      </c>
      <c r="D295" t="s">
        <v>363</v>
      </c>
      <c r="E295">
        <v>5020</v>
      </c>
      <c r="F295" t="s">
        <v>114</v>
      </c>
      <c r="G295" t="s">
        <v>110</v>
      </c>
      <c r="H295" t="s">
        <v>218</v>
      </c>
      <c r="I295">
        <v>4428.1000000000004</v>
      </c>
      <c r="J295">
        <v>0</v>
      </c>
      <c r="K295" t="s">
        <v>364</v>
      </c>
      <c r="L295" t="s">
        <v>226</v>
      </c>
      <c r="N295" t="s">
        <v>186</v>
      </c>
    </row>
    <row r="296" spans="1:14" x14ac:dyDescent="0.45">
      <c r="A296">
        <v>295</v>
      </c>
      <c r="B296">
        <v>110</v>
      </c>
      <c r="C296" t="s">
        <v>72</v>
      </c>
      <c r="D296" t="s">
        <v>363</v>
      </c>
      <c r="E296">
        <v>1000</v>
      </c>
      <c r="F296" t="s">
        <v>77</v>
      </c>
      <c r="G296" t="s">
        <v>78</v>
      </c>
      <c r="H296" t="s">
        <v>218</v>
      </c>
      <c r="I296">
        <v>0</v>
      </c>
      <c r="J296">
        <v>6888.15</v>
      </c>
      <c r="K296" t="s">
        <v>364</v>
      </c>
      <c r="L296" t="s">
        <v>226</v>
      </c>
      <c r="N296" t="s">
        <v>186</v>
      </c>
    </row>
    <row r="297" spans="1:14" x14ac:dyDescent="0.45">
      <c r="A297">
        <v>296</v>
      </c>
      <c r="B297">
        <v>110</v>
      </c>
      <c r="C297" t="s">
        <v>72</v>
      </c>
      <c r="D297" t="s">
        <v>363</v>
      </c>
      <c r="E297">
        <v>2000</v>
      </c>
      <c r="F297" t="s">
        <v>88</v>
      </c>
      <c r="G297" t="s">
        <v>89</v>
      </c>
      <c r="H297" t="s">
        <v>218</v>
      </c>
      <c r="I297">
        <v>0</v>
      </c>
      <c r="J297">
        <v>2952.07</v>
      </c>
      <c r="K297" t="s">
        <v>364</v>
      </c>
      <c r="L297" t="s">
        <v>226</v>
      </c>
      <c r="N297" t="s">
        <v>186</v>
      </c>
    </row>
    <row r="298" spans="1:14" x14ac:dyDescent="0.45">
      <c r="A298">
        <v>297</v>
      </c>
      <c r="B298">
        <v>111</v>
      </c>
      <c r="C298" t="s">
        <v>72</v>
      </c>
      <c r="D298" t="s">
        <v>365</v>
      </c>
      <c r="E298">
        <v>6010</v>
      </c>
      <c r="F298" t="s">
        <v>119</v>
      </c>
      <c r="G298" t="s">
        <v>117</v>
      </c>
      <c r="H298" t="s">
        <v>218</v>
      </c>
      <c r="I298">
        <v>42476</v>
      </c>
      <c r="J298">
        <v>0</v>
      </c>
      <c r="K298" t="s">
        <v>366</v>
      </c>
      <c r="L298" t="s">
        <v>229</v>
      </c>
      <c r="N298" t="s">
        <v>186</v>
      </c>
    </row>
    <row r="299" spans="1:14" x14ac:dyDescent="0.45">
      <c r="A299">
        <v>298</v>
      </c>
      <c r="B299">
        <v>111</v>
      </c>
      <c r="C299" t="s">
        <v>72</v>
      </c>
      <c r="D299" t="s">
        <v>365</v>
      </c>
      <c r="E299">
        <v>6020</v>
      </c>
      <c r="F299" t="s">
        <v>121</v>
      </c>
      <c r="G299" t="s">
        <v>117</v>
      </c>
      <c r="H299" t="s">
        <v>218</v>
      </c>
      <c r="I299">
        <v>5946.64</v>
      </c>
      <c r="J299">
        <v>0</v>
      </c>
      <c r="K299" t="s">
        <v>366</v>
      </c>
      <c r="L299" t="s">
        <v>229</v>
      </c>
      <c r="N299" t="s">
        <v>186</v>
      </c>
    </row>
    <row r="300" spans="1:14" x14ac:dyDescent="0.45">
      <c r="A300">
        <v>299</v>
      </c>
      <c r="B300">
        <v>111</v>
      </c>
      <c r="C300" t="s">
        <v>72</v>
      </c>
      <c r="D300" t="s">
        <v>365</v>
      </c>
      <c r="E300">
        <v>1000</v>
      </c>
      <c r="F300" t="s">
        <v>77</v>
      </c>
      <c r="G300" t="s">
        <v>78</v>
      </c>
      <c r="H300" t="s">
        <v>218</v>
      </c>
      <c r="I300">
        <v>0</v>
      </c>
      <c r="J300">
        <v>48366.559999999998</v>
      </c>
      <c r="K300" t="s">
        <v>366</v>
      </c>
      <c r="L300" t="s">
        <v>229</v>
      </c>
      <c r="N300" t="s">
        <v>186</v>
      </c>
    </row>
    <row r="301" spans="1:14" x14ac:dyDescent="0.45">
      <c r="A301">
        <v>300</v>
      </c>
      <c r="B301">
        <v>111</v>
      </c>
      <c r="C301" t="s">
        <v>72</v>
      </c>
      <c r="D301" t="s">
        <v>365</v>
      </c>
      <c r="E301">
        <v>2100</v>
      </c>
      <c r="F301" t="s">
        <v>91</v>
      </c>
      <c r="G301" t="s">
        <v>89</v>
      </c>
      <c r="H301" t="s">
        <v>218</v>
      </c>
      <c r="I301">
        <v>0</v>
      </c>
      <c r="J301">
        <v>4842.26</v>
      </c>
      <c r="K301" t="s">
        <v>366</v>
      </c>
      <c r="L301" t="s">
        <v>229</v>
      </c>
      <c r="N301" t="s">
        <v>186</v>
      </c>
    </row>
    <row r="302" spans="1:14" x14ac:dyDescent="0.45">
      <c r="A302">
        <v>301</v>
      </c>
      <c r="B302">
        <v>111</v>
      </c>
      <c r="C302" t="s">
        <v>72</v>
      </c>
      <c r="D302" t="s">
        <v>365</v>
      </c>
      <c r="E302">
        <v>2100</v>
      </c>
      <c r="F302" t="s">
        <v>91</v>
      </c>
      <c r="G302" t="s">
        <v>89</v>
      </c>
      <c r="H302" t="s">
        <v>218</v>
      </c>
      <c r="I302">
        <v>4786.18</v>
      </c>
      <c r="J302">
        <v>0</v>
      </c>
      <c r="K302" t="s">
        <v>366</v>
      </c>
      <c r="L302" t="s">
        <v>229</v>
      </c>
      <c r="N302" t="s">
        <v>186</v>
      </c>
    </row>
    <row r="303" spans="1:14" x14ac:dyDescent="0.45">
      <c r="A303">
        <v>302</v>
      </c>
      <c r="B303">
        <v>112</v>
      </c>
      <c r="C303" t="s">
        <v>72</v>
      </c>
      <c r="D303" t="s">
        <v>367</v>
      </c>
      <c r="E303">
        <v>6030</v>
      </c>
      <c r="F303" t="s">
        <v>123</v>
      </c>
      <c r="G303" t="s">
        <v>117</v>
      </c>
      <c r="H303" t="s">
        <v>218</v>
      </c>
      <c r="I303">
        <v>6902</v>
      </c>
      <c r="J303">
        <v>0</v>
      </c>
      <c r="K303" t="s">
        <v>368</v>
      </c>
      <c r="L303" t="s">
        <v>232</v>
      </c>
      <c r="N303" t="s">
        <v>186</v>
      </c>
    </row>
    <row r="304" spans="1:14" x14ac:dyDescent="0.45">
      <c r="A304">
        <v>303</v>
      </c>
      <c r="B304">
        <v>112</v>
      </c>
      <c r="C304" t="s">
        <v>72</v>
      </c>
      <c r="D304" t="s">
        <v>367</v>
      </c>
      <c r="E304">
        <v>1000</v>
      </c>
      <c r="F304" t="s">
        <v>77</v>
      </c>
      <c r="G304" t="s">
        <v>78</v>
      </c>
      <c r="H304" t="s">
        <v>218</v>
      </c>
      <c r="I304">
        <v>0</v>
      </c>
      <c r="J304">
        <v>6902</v>
      </c>
      <c r="K304" t="s">
        <v>368</v>
      </c>
      <c r="L304" t="s">
        <v>232</v>
      </c>
      <c r="N304" t="s">
        <v>186</v>
      </c>
    </row>
    <row r="305" spans="1:14" x14ac:dyDescent="0.45">
      <c r="A305">
        <v>304</v>
      </c>
      <c r="B305">
        <v>113</v>
      </c>
      <c r="C305" t="s">
        <v>72</v>
      </c>
      <c r="D305" t="s">
        <v>369</v>
      </c>
      <c r="E305">
        <v>6040</v>
      </c>
      <c r="F305" t="s">
        <v>125</v>
      </c>
      <c r="G305" t="s">
        <v>117</v>
      </c>
      <c r="H305" t="s">
        <v>218</v>
      </c>
      <c r="I305">
        <v>3199.42</v>
      </c>
      <c r="J305">
        <v>0</v>
      </c>
      <c r="K305" t="s">
        <v>370</v>
      </c>
      <c r="L305" t="s">
        <v>226</v>
      </c>
      <c r="N305" t="s">
        <v>186</v>
      </c>
    </row>
    <row r="306" spans="1:14" x14ac:dyDescent="0.45">
      <c r="A306">
        <v>305</v>
      </c>
      <c r="B306">
        <v>113</v>
      </c>
      <c r="C306" t="s">
        <v>72</v>
      </c>
      <c r="D306" t="s">
        <v>369</v>
      </c>
      <c r="E306">
        <v>1000</v>
      </c>
      <c r="F306" t="s">
        <v>77</v>
      </c>
      <c r="G306" t="s">
        <v>78</v>
      </c>
      <c r="H306" t="s">
        <v>218</v>
      </c>
      <c r="I306">
        <v>0</v>
      </c>
      <c r="J306">
        <v>2559.54</v>
      </c>
      <c r="K306" t="s">
        <v>370</v>
      </c>
      <c r="L306" t="s">
        <v>226</v>
      </c>
      <c r="N306" t="s">
        <v>186</v>
      </c>
    </row>
    <row r="307" spans="1:14" x14ac:dyDescent="0.45">
      <c r="A307">
        <v>306</v>
      </c>
      <c r="B307">
        <v>113</v>
      </c>
      <c r="C307" t="s">
        <v>72</v>
      </c>
      <c r="D307" t="s">
        <v>369</v>
      </c>
      <c r="E307">
        <v>2000</v>
      </c>
      <c r="F307" t="s">
        <v>88</v>
      </c>
      <c r="G307" t="s">
        <v>89</v>
      </c>
      <c r="H307" t="s">
        <v>218</v>
      </c>
      <c r="I307">
        <v>0</v>
      </c>
      <c r="J307">
        <v>639.88</v>
      </c>
      <c r="K307" t="s">
        <v>370</v>
      </c>
      <c r="L307" t="s">
        <v>226</v>
      </c>
      <c r="N307" t="s">
        <v>186</v>
      </c>
    </row>
    <row r="308" spans="1:14" x14ac:dyDescent="0.45">
      <c r="A308">
        <v>307</v>
      </c>
      <c r="B308">
        <v>114</v>
      </c>
      <c r="C308" t="s">
        <v>72</v>
      </c>
      <c r="D308" t="s">
        <v>367</v>
      </c>
      <c r="E308">
        <v>6050</v>
      </c>
      <c r="F308" t="s">
        <v>127</v>
      </c>
      <c r="G308" t="s">
        <v>117</v>
      </c>
      <c r="H308" t="s">
        <v>218</v>
      </c>
      <c r="I308">
        <v>1450</v>
      </c>
      <c r="J308">
        <v>0</v>
      </c>
      <c r="K308" t="s">
        <v>371</v>
      </c>
      <c r="L308" t="s">
        <v>236</v>
      </c>
      <c r="N308" t="s">
        <v>186</v>
      </c>
    </row>
    <row r="309" spans="1:14" x14ac:dyDescent="0.45">
      <c r="A309">
        <v>308</v>
      </c>
      <c r="B309">
        <v>114</v>
      </c>
      <c r="C309" t="s">
        <v>72</v>
      </c>
      <c r="D309" t="s">
        <v>367</v>
      </c>
      <c r="E309">
        <v>1200</v>
      </c>
      <c r="F309" t="s">
        <v>82</v>
      </c>
      <c r="G309" t="s">
        <v>78</v>
      </c>
      <c r="H309" t="s">
        <v>218</v>
      </c>
      <c r="I309">
        <v>0</v>
      </c>
      <c r="J309">
        <v>1450</v>
      </c>
      <c r="K309" t="s">
        <v>371</v>
      </c>
      <c r="L309" t="s">
        <v>236</v>
      </c>
      <c r="N309" t="s">
        <v>186</v>
      </c>
    </row>
    <row r="310" spans="1:14" x14ac:dyDescent="0.45">
      <c r="A310">
        <v>309</v>
      </c>
      <c r="B310">
        <v>115</v>
      </c>
      <c r="C310" t="s">
        <v>72</v>
      </c>
      <c r="D310" t="s">
        <v>372</v>
      </c>
      <c r="E310">
        <v>6060</v>
      </c>
      <c r="F310" t="s">
        <v>129</v>
      </c>
      <c r="G310" t="s">
        <v>117</v>
      </c>
      <c r="H310" t="s">
        <v>218</v>
      </c>
      <c r="I310">
        <v>2163</v>
      </c>
      <c r="J310">
        <v>0</v>
      </c>
      <c r="K310" t="s">
        <v>373</v>
      </c>
      <c r="L310" t="s">
        <v>232</v>
      </c>
      <c r="N310" t="s">
        <v>186</v>
      </c>
    </row>
    <row r="311" spans="1:14" x14ac:dyDescent="0.45">
      <c r="A311">
        <v>310</v>
      </c>
      <c r="B311">
        <v>115</v>
      </c>
      <c r="C311" t="s">
        <v>72</v>
      </c>
      <c r="D311" t="s">
        <v>372</v>
      </c>
      <c r="E311">
        <v>1000</v>
      </c>
      <c r="F311" t="s">
        <v>77</v>
      </c>
      <c r="G311" t="s">
        <v>78</v>
      </c>
      <c r="H311" t="s">
        <v>218</v>
      </c>
      <c r="I311">
        <v>0</v>
      </c>
      <c r="J311">
        <v>2163</v>
      </c>
      <c r="K311" t="s">
        <v>373</v>
      </c>
      <c r="L311" t="s">
        <v>232</v>
      </c>
      <c r="N311" t="s">
        <v>186</v>
      </c>
    </row>
    <row r="312" spans="1:14" x14ac:dyDescent="0.45">
      <c r="A312">
        <v>311</v>
      </c>
      <c r="B312">
        <v>116</v>
      </c>
      <c r="C312" t="s">
        <v>72</v>
      </c>
      <c r="D312" t="s">
        <v>374</v>
      </c>
      <c r="E312">
        <v>7000</v>
      </c>
      <c r="F312" t="s">
        <v>133</v>
      </c>
      <c r="G312" t="s">
        <v>117</v>
      </c>
      <c r="H312" t="s">
        <v>218</v>
      </c>
      <c r="I312">
        <v>1100</v>
      </c>
      <c r="J312">
        <v>0</v>
      </c>
      <c r="K312" t="s">
        <v>375</v>
      </c>
      <c r="L312" t="s">
        <v>241</v>
      </c>
      <c r="N312" t="s">
        <v>186</v>
      </c>
    </row>
    <row r="313" spans="1:14" x14ac:dyDescent="0.45">
      <c r="A313">
        <v>312</v>
      </c>
      <c r="B313">
        <v>116</v>
      </c>
      <c r="C313" t="s">
        <v>72</v>
      </c>
      <c r="D313" t="s">
        <v>374</v>
      </c>
      <c r="E313">
        <v>1500</v>
      </c>
      <c r="F313" t="s">
        <v>86</v>
      </c>
      <c r="G313" t="s">
        <v>78</v>
      </c>
      <c r="H313" t="s">
        <v>218</v>
      </c>
      <c r="I313">
        <v>0</v>
      </c>
      <c r="J313">
        <v>1100</v>
      </c>
      <c r="K313" t="s">
        <v>375</v>
      </c>
      <c r="L313" t="s">
        <v>241</v>
      </c>
      <c r="N313" t="s">
        <v>186</v>
      </c>
    </row>
    <row r="314" spans="1:14" x14ac:dyDescent="0.45">
      <c r="A314">
        <v>313</v>
      </c>
      <c r="B314">
        <v>117</v>
      </c>
      <c r="C314" t="s">
        <v>72</v>
      </c>
      <c r="D314" t="s">
        <v>376</v>
      </c>
      <c r="E314">
        <v>2000</v>
      </c>
      <c r="F314" t="s">
        <v>88</v>
      </c>
      <c r="G314" t="s">
        <v>89</v>
      </c>
      <c r="H314" t="s">
        <v>218</v>
      </c>
      <c r="I314">
        <v>3888.62</v>
      </c>
      <c r="J314">
        <v>0</v>
      </c>
      <c r="K314" t="s">
        <v>377</v>
      </c>
      <c r="L314" t="s">
        <v>232</v>
      </c>
      <c r="N314" t="s">
        <v>186</v>
      </c>
    </row>
    <row r="315" spans="1:14" x14ac:dyDescent="0.45">
      <c r="A315">
        <v>314</v>
      </c>
      <c r="B315">
        <v>117</v>
      </c>
      <c r="C315" t="s">
        <v>72</v>
      </c>
      <c r="D315" t="s">
        <v>376</v>
      </c>
      <c r="E315">
        <v>1000</v>
      </c>
      <c r="F315" t="s">
        <v>77</v>
      </c>
      <c r="G315" t="s">
        <v>78</v>
      </c>
      <c r="H315" t="s">
        <v>218</v>
      </c>
      <c r="I315">
        <v>0</v>
      </c>
      <c r="J315">
        <v>3888.62</v>
      </c>
      <c r="K315" t="s">
        <v>377</v>
      </c>
      <c r="L315" t="s">
        <v>232</v>
      </c>
      <c r="N315" t="s">
        <v>186</v>
      </c>
    </row>
    <row r="316" spans="1:14" x14ac:dyDescent="0.45">
      <c r="A316">
        <v>315</v>
      </c>
      <c r="B316">
        <v>118</v>
      </c>
      <c r="C316" t="s">
        <v>73</v>
      </c>
      <c r="D316" t="s">
        <v>359</v>
      </c>
      <c r="E316">
        <v>1100</v>
      </c>
      <c r="F316" t="s">
        <v>80</v>
      </c>
      <c r="G316" t="s">
        <v>78</v>
      </c>
      <c r="H316" t="s">
        <v>218</v>
      </c>
      <c r="I316">
        <v>63097.16</v>
      </c>
      <c r="J316">
        <v>0</v>
      </c>
      <c r="K316" t="s">
        <v>378</v>
      </c>
      <c r="L316" t="s">
        <v>220</v>
      </c>
      <c r="N316" t="s">
        <v>186</v>
      </c>
    </row>
    <row r="317" spans="1:14" x14ac:dyDescent="0.45">
      <c r="A317">
        <v>316</v>
      </c>
      <c r="B317">
        <v>118</v>
      </c>
      <c r="C317" t="s">
        <v>73</v>
      </c>
      <c r="D317" t="s">
        <v>359</v>
      </c>
      <c r="E317">
        <v>4010</v>
      </c>
      <c r="F317" t="s">
        <v>101</v>
      </c>
      <c r="G317" t="s">
        <v>99</v>
      </c>
      <c r="H317" t="s">
        <v>218</v>
      </c>
      <c r="I317">
        <v>0</v>
      </c>
      <c r="J317">
        <v>26500.81</v>
      </c>
      <c r="K317" t="s">
        <v>378</v>
      </c>
      <c r="L317" t="s">
        <v>220</v>
      </c>
      <c r="N317" t="s">
        <v>186</v>
      </c>
    </row>
    <row r="318" spans="1:14" x14ac:dyDescent="0.45">
      <c r="A318">
        <v>317</v>
      </c>
      <c r="B318">
        <v>118</v>
      </c>
      <c r="C318" t="s">
        <v>73</v>
      </c>
      <c r="D318" t="s">
        <v>359</v>
      </c>
      <c r="E318">
        <v>4020</v>
      </c>
      <c r="F318" t="s">
        <v>103</v>
      </c>
      <c r="G318" t="s">
        <v>99</v>
      </c>
      <c r="H318" t="s">
        <v>218</v>
      </c>
      <c r="I318">
        <v>0</v>
      </c>
      <c r="J318">
        <v>20822.060000000001</v>
      </c>
      <c r="K318" t="s">
        <v>378</v>
      </c>
      <c r="L318" t="s">
        <v>220</v>
      </c>
      <c r="N318" t="s">
        <v>186</v>
      </c>
    </row>
    <row r="319" spans="1:14" x14ac:dyDescent="0.45">
      <c r="A319">
        <v>318</v>
      </c>
      <c r="B319">
        <v>118</v>
      </c>
      <c r="C319" t="s">
        <v>73</v>
      </c>
      <c r="D319" t="s">
        <v>359</v>
      </c>
      <c r="E319">
        <v>4030</v>
      </c>
      <c r="F319" t="s">
        <v>105</v>
      </c>
      <c r="G319" t="s">
        <v>99</v>
      </c>
      <c r="H319" t="s">
        <v>218</v>
      </c>
      <c r="I319">
        <v>0</v>
      </c>
      <c r="J319">
        <v>15774.29</v>
      </c>
      <c r="K319" t="s">
        <v>378</v>
      </c>
      <c r="L319" t="s">
        <v>220</v>
      </c>
      <c r="N319" t="s">
        <v>186</v>
      </c>
    </row>
    <row r="320" spans="1:14" x14ac:dyDescent="0.45">
      <c r="A320">
        <v>319</v>
      </c>
      <c r="B320">
        <v>119</v>
      </c>
      <c r="C320" t="s">
        <v>73</v>
      </c>
      <c r="D320" t="s">
        <v>361</v>
      </c>
      <c r="E320">
        <v>1000</v>
      </c>
      <c r="F320" t="s">
        <v>77</v>
      </c>
      <c r="G320" t="s">
        <v>78</v>
      </c>
      <c r="H320" t="s">
        <v>218</v>
      </c>
      <c r="I320">
        <v>55528.39</v>
      </c>
      <c r="J320">
        <v>0</v>
      </c>
      <c r="K320" t="s">
        <v>379</v>
      </c>
      <c r="L320" t="s">
        <v>223</v>
      </c>
      <c r="N320" t="s">
        <v>186</v>
      </c>
    </row>
    <row r="321" spans="1:14" x14ac:dyDescent="0.45">
      <c r="A321">
        <v>320</v>
      </c>
      <c r="B321">
        <v>119</v>
      </c>
      <c r="C321" t="s">
        <v>73</v>
      </c>
      <c r="D321" t="s">
        <v>361</v>
      </c>
      <c r="E321">
        <v>1100</v>
      </c>
      <c r="F321" t="s">
        <v>80</v>
      </c>
      <c r="G321" t="s">
        <v>78</v>
      </c>
      <c r="H321" t="s">
        <v>218</v>
      </c>
      <c r="I321">
        <v>0</v>
      </c>
      <c r="J321">
        <v>55528.39</v>
      </c>
      <c r="K321" t="s">
        <v>379</v>
      </c>
      <c r="L321" t="s">
        <v>223</v>
      </c>
      <c r="N321" t="s">
        <v>186</v>
      </c>
    </row>
    <row r="322" spans="1:14" x14ac:dyDescent="0.45">
      <c r="A322">
        <v>321</v>
      </c>
      <c r="B322">
        <v>120</v>
      </c>
      <c r="C322" t="s">
        <v>73</v>
      </c>
      <c r="D322" t="s">
        <v>363</v>
      </c>
      <c r="E322">
        <v>5010</v>
      </c>
      <c r="F322" t="s">
        <v>112</v>
      </c>
      <c r="G322" t="s">
        <v>110</v>
      </c>
      <c r="H322" t="s">
        <v>218</v>
      </c>
      <c r="I322">
        <v>3583.51</v>
      </c>
      <c r="J322">
        <v>0</v>
      </c>
      <c r="K322" t="s">
        <v>380</v>
      </c>
      <c r="L322" t="s">
        <v>226</v>
      </c>
      <c r="N322" t="s">
        <v>186</v>
      </c>
    </row>
    <row r="323" spans="1:14" x14ac:dyDescent="0.45">
      <c r="A323">
        <v>322</v>
      </c>
      <c r="B323">
        <v>120</v>
      </c>
      <c r="C323" t="s">
        <v>73</v>
      </c>
      <c r="D323" t="s">
        <v>363</v>
      </c>
      <c r="E323">
        <v>5020</v>
      </c>
      <c r="F323" t="s">
        <v>114</v>
      </c>
      <c r="G323" t="s">
        <v>110</v>
      </c>
      <c r="H323" t="s">
        <v>218</v>
      </c>
      <c r="I323">
        <v>2931.96</v>
      </c>
      <c r="J323">
        <v>0</v>
      </c>
      <c r="K323" t="s">
        <v>380</v>
      </c>
      <c r="L323" t="s">
        <v>226</v>
      </c>
      <c r="N323" t="s">
        <v>186</v>
      </c>
    </row>
    <row r="324" spans="1:14" x14ac:dyDescent="0.45">
      <c r="A324">
        <v>323</v>
      </c>
      <c r="B324">
        <v>120</v>
      </c>
      <c r="C324" t="s">
        <v>73</v>
      </c>
      <c r="D324" t="s">
        <v>363</v>
      </c>
      <c r="E324">
        <v>1000</v>
      </c>
      <c r="F324" t="s">
        <v>77</v>
      </c>
      <c r="G324" t="s">
        <v>78</v>
      </c>
      <c r="H324" t="s">
        <v>218</v>
      </c>
      <c r="I324">
        <v>0</v>
      </c>
      <c r="J324">
        <v>4560.83</v>
      </c>
      <c r="K324" t="s">
        <v>380</v>
      </c>
      <c r="L324" t="s">
        <v>226</v>
      </c>
      <c r="N324" t="s">
        <v>186</v>
      </c>
    </row>
    <row r="325" spans="1:14" x14ac:dyDescent="0.45">
      <c r="A325">
        <v>324</v>
      </c>
      <c r="B325">
        <v>120</v>
      </c>
      <c r="C325" t="s">
        <v>73</v>
      </c>
      <c r="D325" t="s">
        <v>363</v>
      </c>
      <c r="E325">
        <v>2000</v>
      </c>
      <c r="F325" t="s">
        <v>88</v>
      </c>
      <c r="G325" t="s">
        <v>89</v>
      </c>
      <c r="H325" t="s">
        <v>218</v>
      </c>
      <c r="I325">
        <v>0</v>
      </c>
      <c r="J325">
        <v>1954.64</v>
      </c>
      <c r="K325" t="s">
        <v>380</v>
      </c>
      <c r="L325" t="s">
        <v>226</v>
      </c>
      <c r="N325" t="s">
        <v>186</v>
      </c>
    </row>
    <row r="326" spans="1:14" x14ac:dyDescent="0.45">
      <c r="A326">
        <v>325</v>
      </c>
      <c r="B326">
        <v>121</v>
      </c>
      <c r="C326" t="s">
        <v>73</v>
      </c>
      <c r="D326" t="s">
        <v>365</v>
      </c>
      <c r="E326">
        <v>6010</v>
      </c>
      <c r="F326" t="s">
        <v>119</v>
      </c>
      <c r="G326" t="s">
        <v>117</v>
      </c>
      <c r="H326" t="s">
        <v>218</v>
      </c>
      <c r="I326">
        <v>26335.119999999999</v>
      </c>
      <c r="J326">
        <v>0</v>
      </c>
      <c r="K326" t="s">
        <v>381</v>
      </c>
      <c r="L326" t="s">
        <v>229</v>
      </c>
      <c r="N326" t="s">
        <v>186</v>
      </c>
    </row>
    <row r="327" spans="1:14" x14ac:dyDescent="0.45">
      <c r="A327">
        <v>326</v>
      </c>
      <c r="B327">
        <v>121</v>
      </c>
      <c r="C327" t="s">
        <v>73</v>
      </c>
      <c r="D327" t="s">
        <v>365</v>
      </c>
      <c r="E327">
        <v>6020</v>
      </c>
      <c r="F327" t="s">
        <v>121</v>
      </c>
      <c r="G327" t="s">
        <v>117</v>
      </c>
      <c r="H327" t="s">
        <v>218</v>
      </c>
      <c r="I327">
        <v>3686.92</v>
      </c>
      <c r="J327">
        <v>0</v>
      </c>
      <c r="K327" t="s">
        <v>381</v>
      </c>
      <c r="L327" t="s">
        <v>229</v>
      </c>
      <c r="N327" t="s">
        <v>186</v>
      </c>
    </row>
    <row r="328" spans="1:14" x14ac:dyDescent="0.45">
      <c r="A328">
        <v>327</v>
      </c>
      <c r="B328">
        <v>121</v>
      </c>
      <c r="C328" t="s">
        <v>73</v>
      </c>
      <c r="D328" t="s">
        <v>365</v>
      </c>
      <c r="E328">
        <v>1000</v>
      </c>
      <c r="F328" t="s">
        <v>77</v>
      </c>
      <c r="G328" t="s">
        <v>78</v>
      </c>
      <c r="H328" t="s">
        <v>218</v>
      </c>
      <c r="I328">
        <v>0</v>
      </c>
      <c r="J328">
        <v>29987.27</v>
      </c>
      <c r="K328" t="s">
        <v>381</v>
      </c>
      <c r="L328" t="s">
        <v>229</v>
      </c>
      <c r="N328" t="s">
        <v>186</v>
      </c>
    </row>
    <row r="329" spans="1:14" x14ac:dyDescent="0.45">
      <c r="A329">
        <v>328</v>
      </c>
      <c r="B329">
        <v>121</v>
      </c>
      <c r="C329" t="s">
        <v>73</v>
      </c>
      <c r="D329" t="s">
        <v>365</v>
      </c>
      <c r="E329">
        <v>2100</v>
      </c>
      <c r="F329" t="s">
        <v>91</v>
      </c>
      <c r="G329" t="s">
        <v>89</v>
      </c>
      <c r="H329" t="s">
        <v>218</v>
      </c>
      <c r="I329">
        <v>0</v>
      </c>
      <c r="J329">
        <v>3002.2</v>
      </c>
      <c r="K329" t="s">
        <v>381</v>
      </c>
      <c r="L329" t="s">
        <v>229</v>
      </c>
      <c r="N329" t="s">
        <v>186</v>
      </c>
    </row>
    <row r="330" spans="1:14" x14ac:dyDescent="0.45">
      <c r="A330">
        <v>329</v>
      </c>
      <c r="B330">
        <v>121</v>
      </c>
      <c r="C330" t="s">
        <v>73</v>
      </c>
      <c r="D330" t="s">
        <v>365</v>
      </c>
      <c r="E330">
        <v>2100</v>
      </c>
      <c r="F330" t="s">
        <v>91</v>
      </c>
      <c r="G330" t="s">
        <v>89</v>
      </c>
      <c r="H330" t="s">
        <v>218</v>
      </c>
      <c r="I330">
        <v>2967.43</v>
      </c>
      <c r="J330">
        <v>0</v>
      </c>
      <c r="K330" t="s">
        <v>381</v>
      </c>
      <c r="L330" t="s">
        <v>229</v>
      </c>
      <c r="N330" t="s">
        <v>186</v>
      </c>
    </row>
    <row r="331" spans="1:14" x14ac:dyDescent="0.45">
      <c r="A331">
        <v>330</v>
      </c>
      <c r="B331">
        <v>122</v>
      </c>
      <c r="C331" t="s">
        <v>73</v>
      </c>
      <c r="D331" t="s">
        <v>367</v>
      </c>
      <c r="E331">
        <v>6030</v>
      </c>
      <c r="F331" t="s">
        <v>123</v>
      </c>
      <c r="G331" t="s">
        <v>117</v>
      </c>
      <c r="H331" t="s">
        <v>218</v>
      </c>
      <c r="I331">
        <v>4279.24</v>
      </c>
      <c r="J331">
        <v>0</v>
      </c>
      <c r="K331" t="s">
        <v>382</v>
      </c>
      <c r="L331" t="s">
        <v>232</v>
      </c>
      <c r="N331" t="s">
        <v>186</v>
      </c>
    </row>
    <row r="332" spans="1:14" x14ac:dyDescent="0.45">
      <c r="A332">
        <v>331</v>
      </c>
      <c r="B332">
        <v>122</v>
      </c>
      <c r="C332" t="s">
        <v>73</v>
      </c>
      <c r="D332" t="s">
        <v>367</v>
      </c>
      <c r="E332">
        <v>1000</v>
      </c>
      <c r="F332" t="s">
        <v>77</v>
      </c>
      <c r="G332" t="s">
        <v>78</v>
      </c>
      <c r="H332" t="s">
        <v>218</v>
      </c>
      <c r="I332">
        <v>0</v>
      </c>
      <c r="J332">
        <v>4279.24</v>
      </c>
      <c r="K332" t="s">
        <v>382</v>
      </c>
      <c r="L332" t="s">
        <v>232</v>
      </c>
      <c r="N332" t="s">
        <v>186</v>
      </c>
    </row>
    <row r="333" spans="1:14" x14ac:dyDescent="0.45">
      <c r="A333">
        <v>332</v>
      </c>
      <c r="B333">
        <v>123</v>
      </c>
      <c r="C333" t="s">
        <v>73</v>
      </c>
      <c r="D333" t="s">
        <v>369</v>
      </c>
      <c r="E333">
        <v>6040</v>
      </c>
      <c r="F333" t="s">
        <v>125</v>
      </c>
      <c r="G333" t="s">
        <v>117</v>
      </c>
      <c r="H333" t="s">
        <v>218</v>
      </c>
      <c r="I333">
        <v>2118.42</v>
      </c>
      <c r="J333">
        <v>0</v>
      </c>
      <c r="K333" t="s">
        <v>383</v>
      </c>
      <c r="L333" t="s">
        <v>226</v>
      </c>
      <c r="N333" t="s">
        <v>186</v>
      </c>
    </row>
    <row r="334" spans="1:14" x14ac:dyDescent="0.45">
      <c r="A334">
        <v>333</v>
      </c>
      <c r="B334">
        <v>123</v>
      </c>
      <c r="C334" t="s">
        <v>73</v>
      </c>
      <c r="D334" t="s">
        <v>369</v>
      </c>
      <c r="E334">
        <v>1000</v>
      </c>
      <c r="F334" t="s">
        <v>77</v>
      </c>
      <c r="G334" t="s">
        <v>78</v>
      </c>
      <c r="H334" t="s">
        <v>218</v>
      </c>
      <c r="I334">
        <v>0</v>
      </c>
      <c r="J334">
        <v>1694.74</v>
      </c>
      <c r="K334" t="s">
        <v>383</v>
      </c>
      <c r="L334" t="s">
        <v>226</v>
      </c>
      <c r="N334" t="s">
        <v>186</v>
      </c>
    </row>
    <row r="335" spans="1:14" x14ac:dyDescent="0.45">
      <c r="A335">
        <v>334</v>
      </c>
      <c r="B335">
        <v>123</v>
      </c>
      <c r="C335" t="s">
        <v>73</v>
      </c>
      <c r="D335" t="s">
        <v>369</v>
      </c>
      <c r="E335">
        <v>2000</v>
      </c>
      <c r="F335" t="s">
        <v>88</v>
      </c>
      <c r="G335" t="s">
        <v>89</v>
      </c>
      <c r="H335" t="s">
        <v>218</v>
      </c>
      <c r="I335">
        <v>0</v>
      </c>
      <c r="J335">
        <v>423.68</v>
      </c>
      <c r="K335" t="s">
        <v>383</v>
      </c>
      <c r="L335" t="s">
        <v>226</v>
      </c>
      <c r="N335" t="s">
        <v>186</v>
      </c>
    </row>
    <row r="336" spans="1:14" x14ac:dyDescent="0.45">
      <c r="A336">
        <v>335</v>
      </c>
      <c r="B336">
        <v>124</v>
      </c>
      <c r="C336" t="s">
        <v>73</v>
      </c>
      <c r="D336" t="s">
        <v>367</v>
      </c>
      <c r="E336">
        <v>6050</v>
      </c>
      <c r="F336" t="s">
        <v>127</v>
      </c>
      <c r="G336" t="s">
        <v>117</v>
      </c>
      <c r="H336" t="s">
        <v>218</v>
      </c>
      <c r="I336">
        <v>899</v>
      </c>
      <c r="J336">
        <v>0</v>
      </c>
      <c r="K336" t="s">
        <v>384</v>
      </c>
      <c r="L336" t="s">
        <v>236</v>
      </c>
      <c r="N336" t="s">
        <v>186</v>
      </c>
    </row>
    <row r="337" spans="1:14" x14ac:dyDescent="0.45">
      <c r="A337">
        <v>336</v>
      </c>
      <c r="B337">
        <v>124</v>
      </c>
      <c r="C337" t="s">
        <v>73</v>
      </c>
      <c r="D337" t="s">
        <v>367</v>
      </c>
      <c r="E337">
        <v>1200</v>
      </c>
      <c r="F337" t="s">
        <v>82</v>
      </c>
      <c r="G337" t="s">
        <v>78</v>
      </c>
      <c r="H337" t="s">
        <v>218</v>
      </c>
      <c r="I337">
        <v>0</v>
      </c>
      <c r="J337">
        <v>899</v>
      </c>
      <c r="K337" t="s">
        <v>384</v>
      </c>
      <c r="L337" t="s">
        <v>236</v>
      </c>
      <c r="N337" t="s">
        <v>186</v>
      </c>
    </row>
    <row r="338" spans="1:14" x14ac:dyDescent="0.45">
      <c r="A338">
        <v>337</v>
      </c>
      <c r="B338">
        <v>125</v>
      </c>
      <c r="C338" t="s">
        <v>73</v>
      </c>
      <c r="D338" t="s">
        <v>372</v>
      </c>
      <c r="E338">
        <v>6060</v>
      </c>
      <c r="F338" t="s">
        <v>129</v>
      </c>
      <c r="G338" t="s">
        <v>117</v>
      </c>
      <c r="H338" t="s">
        <v>218</v>
      </c>
      <c r="I338">
        <v>1341.06</v>
      </c>
      <c r="J338">
        <v>0</v>
      </c>
      <c r="K338" t="s">
        <v>385</v>
      </c>
      <c r="L338" t="s">
        <v>232</v>
      </c>
      <c r="N338" t="s">
        <v>186</v>
      </c>
    </row>
    <row r="339" spans="1:14" x14ac:dyDescent="0.45">
      <c r="A339">
        <v>338</v>
      </c>
      <c r="B339">
        <v>125</v>
      </c>
      <c r="C339" t="s">
        <v>73</v>
      </c>
      <c r="D339" t="s">
        <v>372</v>
      </c>
      <c r="E339">
        <v>1000</v>
      </c>
      <c r="F339" t="s">
        <v>77</v>
      </c>
      <c r="G339" t="s">
        <v>78</v>
      </c>
      <c r="H339" t="s">
        <v>218</v>
      </c>
      <c r="I339">
        <v>0</v>
      </c>
      <c r="J339">
        <v>1341.06</v>
      </c>
      <c r="K339" t="s">
        <v>385</v>
      </c>
      <c r="L339" t="s">
        <v>232</v>
      </c>
      <c r="N339" t="s">
        <v>186</v>
      </c>
    </row>
    <row r="340" spans="1:14" x14ac:dyDescent="0.45">
      <c r="A340">
        <v>339</v>
      </c>
      <c r="B340">
        <v>126</v>
      </c>
      <c r="C340" t="s">
        <v>73</v>
      </c>
      <c r="D340" t="s">
        <v>374</v>
      </c>
      <c r="E340">
        <v>7000</v>
      </c>
      <c r="F340" t="s">
        <v>133</v>
      </c>
      <c r="G340" t="s">
        <v>117</v>
      </c>
      <c r="H340" t="s">
        <v>218</v>
      </c>
      <c r="I340">
        <v>682</v>
      </c>
      <c r="J340">
        <v>0</v>
      </c>
      <c r="K340" t="s">
        <v>386</v>
      </c>
      <c r="L340" t="s">
        <v>241</v>
      </c>
      <c r="N340" t="s">
        <v>186</v>
      </c>
    </row>
    <row r="341" spans="1:14" x14ac:dyDescent="0.45">
      <c r="A341">
        <v>340</v>
      </c>
      <c r="B341">
        <v>126</v>
      </c>
      <c r="C341" t="s">
        <v>73</v>
      </c>
      <c r="D341" t="s">
        <v>374</v>
      </c>
      <c r="E341">
        <v>1500</v>
      </c>
      <c r="F341" t="s">
        <v>86</v>
      </c>
      <c r="G341" t="s">
        <v>78</v>
      </c>
      <c r="H341" t="s">
        <v>218</v>
      </c>
      <c r="I341">
        <v>0</v>
      </c>
      <c r="J341">
        <v>682</v>
      </c>
      <c r="K341" t="s">
        <v>386</v>
      </c>
      <c r="L341" t="s">
        <v>241</v>
      </c>
      <c r="N341" t="s">
        <v>186</v>
      </c>
    </row>
    <row r="342" spans="1:14" x14ac:dyDescent="0.45">
      <c r="A342">
        <v>341</v>
      </c>
      <c r="B342">
        <v>127</v>
      </c>
      <c r="C342" t="s">
        <v>73</v>
      </c>
      <c r="D342" t="s">
        <v>376</v>
      </c>
      <c r="E342">
        <v>2000</v>
      </c>
      <c r="F342" t="s">
        <v>88</v>
      </c>
      <c r="G342" t="s">
        <v>89</v>
      </c>
      <c r="H342" t="s">
        <v>218</v>
      </c>
      <c r="I342">
        <v>2179.4499999999998</v>
      </c>
      <c r="J342">
        <v>0</v>
      </c>
      <c r="K342" t="s">
        <v>387</v>
      </c>
      <c r="L342" t="s">
        <v>232</v>
      </c>
      <c r="N342" t="s">
        <v>186</v>
      </c>
    </row>
    <row r="343" spans="1:14" x14ac:dyDescent="0.45">
      <c r="A343">
        <v>342</v>
      </c>
      <c r="B343">
        <v>127</v>
      </c>
      <c r="C343" t="s">
        <v>73</v>
      </c>
      <c r="D343" t="s">
        <v>376</v>
      </c>
      <c r="E343">
        <v>1000</v>
      </c>
      <c r="F343" t="s">
        <v>77</v>
      </c>
      <c r="G343" t="s">
        <v>78</v>
      </c>
      <c r="H343" t="s">
        <v>218</v>
      </c>
      <c r="I343">
        <v>0</v>
      </c>
      <c r="J343">
        <v>2179.4499999999998</v>
      </c>
      <c r="K343" t="s">
        <v>387</v>
      </c>
      <c r="L343" t="s">
        <v>232</v>
      </c>
      <c r="N343" t="s">
        <v>186</v>
      </c>
    </row>
    <row r="344" spans="1:14" x14ac:dyDescent="0.45">
      <c r="A344">
        <v>343</v>
      </c>
      <c r="B344">
        <v>128</v>
      </c>
      <c r="C344" t="s">
        <v>74</v>
      </c>
      <c r="D344" t="s">
        <v>359</v>
      </c>
      <c r="E344">
        <v>1100</v>
      </c>
      <c r="F344" t="s">
        <v>80</v>
      </c>
      <c r="G344" t="s">
        <v>78</v>
      </c>
      <c r="H344" t="s">
        <v>218</v>
      </c>
      <c r="I344">
        <v>57305.31</v>
      </c>
      <c r="J344">
        <v>0</v>
      </c>
      <c r="K344" t="s">
        <v>388</v>
      </c>
      <c r="L344" t="s">
        <v>220</v>
      </c>
      <c r="N344" t="s">
        <v>186</v>
      </c>
    </row>
    <row r="345" spans="1:14" x14ac:dyDescent="0.45">
      <c r="A345">
        <v>344</v>
      </c>
      <c r="B345">
        <v>128</v>
      </c>
      <c r="C345" t="s">
        <v>74</v>
      </c>
      <c r="D345" t="s">
        <v>359</v>
      </c>
      <c r="E345">
        <v>4010</v>
      </c>
      <c r="F345" t="s">
        <v>101</v>
      </c>
      <c r="G345" t="s">
        <v>99</v>
      </c>
      <c r="H345" t="s">
        <v>218</v>
      </c>
      <c r="I345">
        <v>0</v>
      </c>
      <c r="J345">
        <v>24068.23</v>
      </c>
      <c r="K345" t="s">
        <v>388</v>
      </c>
      <c r="L345" t="s">
        <v>220</v>
      </c>
      <c r="N345" t="s">
        <v>186</v>
      </c>
    </row>
    <row r="346" spans="1:14" x14ac:dyDescent="0.45">
      <c r="A346">
        <v>345</v>
      </c>
      <c r="B346">
        <v>128</v>
      </c>
      <c r="C346" t="s">
        <v>74</v>
      </c>
      <c r="D346" t="s">
        <v>359</v>
      </c>
      <c r="E346">
        <v>4020</v>
      </c>
      <c r="F346" t="s">
        <v>103</v>
      </c>
      <c r="G346" t="s">
        <v>99</v>
      </c>
      <c r="H346" t="s">
        <v>218</v>
      </c>
      <c r="I346">
        <v>0</v>
      </c>
      <c r="J346">
        <v>18910.75</v>
      </c>
      <c r="K346" t="s">
        <v>388</v>
      </c>
      <c r="L346" t="s">
        <v>220</v>
      </c>
      <c r="N346" t="s">
        <v>186</v>
      </c>
    </row>
    <row r="347" spans="1:14" x14ac:dyDescent="0.45">
      <c r="A347">
        <v>346</v>
      </c>
      <c r="B347">
        <v>128</v>
      </c>
      <c r="C347" t="s">
        <v>74</v>
      </c>
      <c r="D347" t="s">
        <v>359</v>
      </c>
      <c r="E347">
        <v>4030</v>
      </c>
      <c r="F347" t="s">
        <v>105</v>
      </c>
      <c r="G347" t="s">
        <v>99</v>
      </c>
      <c r="H347" t="s">
        <v>218</v>
      </c>
      <c r="I347">
        <v>0</v>
      </c>
      <c r="J347">
        <v>14326.33</v>
      </c>
      <c r="K347" t="s">
        <v>388</v>
      </c>
      <c r="L347" t="s">
        <v>220</v>
      </c>
      <c r="N347" t="s">
        <v>186</v>
      </c>
    </row>
    <row r="348" spans="1:14" x14ac:dyDescent="0.45">
      <c r="A348">
        <v>347</v>
      </c>
      <c r="B348">
        <v>129</v>
      </c>
      <c r="C348" t="s">
        <v>74</v>
      </c>
      <c r="D348" t="s">
        <v>361</v>
      </c>
      <c r="E348">
        <v>1000</v>
      </c>
      <c r="F348" t="s">
        <v>77</v>
      </c>
      <c r="G348" t="s">
        <v>78</v>
      </c>
      <c r="H348" t="s">
        <v>218</v>
      </c>
      <c r="I348">
        <v>50745.97</v>
      </c>
      <c r="J348">
        <v>0</v>
      </c>
      <c r="K348" t="s">
        <v>389</v>
      </c>
      <c r="L348" t="s">
        <v>223</v>
      </c>
      <c r="N348" t="s">
        <v>186</v>
      </c>
    </row>
    <row r="349" spans="1:14" x14ac:dyDescent="0.45">
      <c r="A349">
        <v>348</v>
      </c>
      <c r="B349">
        <v>129</v>
      </c>
      <c r="C349" t="s">
        <v>74</v>
      </c>
      <c r="D349" t="s">
        <v>361</v>
      </c>
      <c r="E349">
        <v>1100</v>
      </c>
      <c r="F349" t="s">
        <v>80</v>
      </c>
      <c r="G349" t="s">
        <v>78</v>
      </c>
      <c r="H349" t="s">
        <v>218</v>
      </c>
      <c r="I349">
        <v>0</v>
      </c>
      <c r="J349">
        <v>50745.97</v>
      </c>
      <c r="K349" t="s">
        <v>389</v>
      </c>
      <c r="L349" t="s">
        <v>223</v>
      </c>
      <c r="N349" t="s">
        <v>186</v>
      </c>
    </row>
    <row r="350" spans="1:14" x14ac:dyDescent="0.45">
      <c r="A350">
        <v>349</v>
      </c>
      <c r="B350">
        <v>130</v>
      </c>
      <c r="C350" t="s">
        <v>74</v>
      </c>
      <c r="D350" t="s">
        <v>363</v>
      </c>
      <c r="E350">
        <v>5010</v>
      </c>
      <c r="F350" t="s">
        <v>112</v>
      </c>
      <c r="G350" t="s">
        <v>110</v>
      </c>
      <c r="H350" t="s">
        <v>218</v>
      </c>
      <c r="I350">
        <v>3254.57</v>
      </c>
      <c r="J350">
        <v>0</v>
      </c>
      <c r="K350" t="s">
        <v>390</v>
      </c>
      <c r="L350" t="s">
        <v>226</v>
      </c>
      <c r="N350" t="s">
        <v>186</v>
      </c>
    </row>
    <row r="351" spans="1:14" x14ac:dyDescent="0.45">
      <c r="A351">
        <v>350</v>
      </c>
      <c r="B351">
        <v>130</v>
      </c>
      <c r="C351" t="s">
        <v>74</v>
      </c>
      <c r="D351" t="s">
        <v>363</v>
      </c>
      <c r="E351">
        <v>5020</v>
      </c>
      <c r="F351" t="s">
        <v>114</v>
      </c>
      <c r="G351" t="s">
        <v>110</v>
      </c>
      <c r="H351" t="s">
        <v>218</v>
      </c>
      <c r="I351">
        <v>2662.83</v>
      </c>
      <c r="J351">
        <v>0</v>
      </c>
      <c r="K351" t="s">
        <v>390</v>
      </c>
      <c r="L351" t="s">
        <v>226</v>
      </c>
      <c r="N351" t="s">
        <v>186</v>
      </c>
    </row>
    <row r="352" spans="1:14" x14ac:dyDescent="0.45">
      <c r="A352">
        <v>351</v>
      </c>
      <c r="B352">
        <v>130</v>
      </c>
      <c r="C352" t="s">
        <v>74</v>
      </c>
      <c r="D352" t="s">
        <v>363</v>
      </c>
      <c r="E352">
        <v>1000</v>
      </c>
      <c r="F352" t="s">
        <v>77</v>
      </c>
      <c r="G352" t="s">
        <v>78</v>
      </c>
      <c r="H352" t="s">
        <v>218</v>
      </c>
      <c r="I352">
        <v>0</v>
      </c>
      <c r="J352">
        <v>4142.18</v>
      </c>
      <c r="K352" t="s">
        <v>390</v>
      </c>
      <c r="L352" t="s">
        <v>226</v>
      </c>
      <c r="N352" t="s">
        <v>186</v>
      </c>
    </row>
    <row r="353" spans="1:14" x14ac:dyDescent="0.45">
      <c r="A353">
        <v>352</v>
      </c>
      <c r="B353">
        <v>130</v>
      </c>
      <c r="C353" t="s">
        <v>74</v>
      </c>
      <c r="D353" t="s">
        <v>363</v>
      </c>
      <c r="E353">
        <v>2000</v>
      </c>
      <c r="F353" t="s">
        <v>88</v>
      </c>
      <c r="G353" t="s">
        <v>89</v>
      </c>
      <c r="H353" t="s">
        <v>218</v>
      </c>
      <c r="I353">
        <v>0</v>
      </c>
      <c r="J353">
        <v>1775.22</v>
      </c>
      <c r="K353" t="s">
        <v>390</v>
      </c>
      <c r="L353" t="s">
        <v>226</v>
      </c>
      <c r="N353" t="s">
        <v>186</v>
      </c>
    </row>
    <row r="354" spans="1:14" x14ac:dyDescent="0.45">
      <c r="A354">
        <v>353</v>
      </c>
      <c r="B354">
        <v>131</v>
      </c>
      <c r="C354" t="s">
        <v>74</v>
      </c>
      <c r="D354" t="s">
        <v>365</v>
      </c>
      <c r="E354">
        <v>6010</v>
      </c>
      <c r="F354" t="s">
        <v>119</v>
      </c>
      <c r="G354" t="s">
        <v>117</v>
      </c>
      <c r="H354" t="s">
        <v>218</v>
      </c>
      <c r="I354">
        <v>23361.8</v>
      </c>
      <c r="J354">
        <v>0</v>
      </c>
      <c r="K354" t="s">
        <v>391</v>
      </c>
      <c r="L354" t="s">
        <v>229</v>
      </c>
      <c r="N354" t="s">
        <v>186</v>
      </c>
    </row>
    <row r="355" spans="1:14" x14ac:dyDescent="0.45">
      <c r="A355">
        <v>354</v>
      </c>
      <c r="B355">
        <v>131</v>
      </c>
      <c r="C355" t="s">
        <v>74</v>
      </c>
      <c r="D355" t="s">
        <v>365</v>
      </c>
      <c r="E355">
        <v>6020</v>
      </c>
      <c r="F355" t="s">
        <v>121</v>
      </c>
      <c r="G355" t="s">
        <v>117</v>
      </c>
      <c r="H355" t="s">
        <v>218</v>
      </c>
      <c r="I355">
        <v>3270.65</v>
      </c>
      <c r="J355">
        <v>0</v>
      </c>
      <c r="K355" t="s">
        <v>391</v>
      </c>
      <c r="L355" t="s">
        <v>229</v>
      </c>
      <c r="N355" t="s">
        <v>186</v>
      </c>
    </row>
    <row r="356" spans="1:14" x14ac:dyDescent="0.45">
      <c r="A356">
        <v>355</v>
      </c>
      <c r="B356">
        <v>131</v>
      </c>
      <c r="C356" t="s">
        <v>74</v>
      </c>
      <c r="D356" t="s">
        <v>365</v>
      </c>
      <c r="E356">
        <v>1000</v>
      </c>
      <c r="F356" t="s">
        <v>77</v>
      </c>
      <c r="G356" t="s">
        <v>78</v>
      </c>
      <c r="H356" t="s">
        <v>218</v>
      </c>
      <c r="I356">
        <v>0</v>
      </c>
      <c r="J356">
        <v>26601.61</v>
      </c>
      <c r="K356" t="s">
        <v>391</v>
      </c>
      <c r="L356" t="s">
        <v>229</v>
      </c>
      <c r="N356" t="s">
        <v>186</v>
      </c>
    </row>
    <row r="357" spans="1:14" x14ac:dyDescent="0.45">
      <c r="A357">
        <v>356</v>
      </c>
      <c r="B357">
        <v>131</v>
      </c>
      <c r="C357" t="s">
        <v>74</v>
      </c>
      <c r="D357" t="s">
        <v>365</v>
      </c>
      <c r="E357">
        <v>2100</v>
      </c>
      <c r="F357" t="s">
        <v>91</v>
      </c>
      <c r="G357" t="s">
        <v>89</v>
      </c>
      <c r="H357" t="s">
        <v>218</v>
      </c>
      <c r="I357">
        <v>0</v>
      </c>
      <c r="J357">
        <v>2663.24</v>
      </c>
      <c r="K357" t="s">
        <v>391</v>
      </c>
      <c r="L357" t="s">
        <v>229</v>
      </c>
      <c r="N357" t="s">
        <v>186</v>
      </c>
    </row>
    <row r="358" spans="1:14" x14ac:dyDescent="0.45">
      <c r="A358">
        <v>357</v>
      </c>
      <c r="B358">
        <v>131</v>
      </c>
      <c r="C358" t="s">
        <v>74</v>
      </c>
      <c r="D358" t="s">
        <v>365</v>
      </c>
      <c r="E358">
        <v>2100</v>
      </c>
      <c r="F358" t="s">
        <v>91</v>
      </c>
      <c r="G358" t="s">
        <v>89</v>
      </c>
      <c r="H358" t="s">
        <v>218</v>
      </c>
      <c r="I358">
        <v>2632.4</v>
      </c>
      <c r="J358">
        <v>0</v>
      </c>
      <c r="K358" t="s">
        <v>391</v>
      </c>
      <c r="L358" t="s">
        <v>229</v>
      </c>
      <c r="N358" t="s">
        <v>186</v>
      </c>
    </row>
    <row r="359" spans="1:14" x14ac:dyDescent="0.45">
      <c r="A359">
        <v>358</v>
      </c>
      <c r="B359">
        <v>132</v>
      </c>
      <c r="C359" t="s">
        <v>74</v>
      </c>
      <c r="D359" t="s">
        <v>367</v>
      </c>
      <c r="E359">
        <v>6030</v>
      </c>
      <c r="F359" t="s">
        <v>123</v>
      </c>
      <c r="G359" t="s">
        <v>117</v>
      </c>
      <c r="H359" t="s">
        <v>218</v>
      </c>
      <c r="I359">
        <v>3796.1</v>
      </c>
      <c r="J359">
        <v>0</v>
      </c>
      <c r="K359" t="s">
        <v>392</v>
      </c>
      <c r="L359" t="s">
        <v>232</v>
      </c>
      <c r="N359" t="s">
        <v>186</v>
      </c>
    </row>
    <row r="360" spans="1:14" x14ac:dyDescent="0.45">
      <c r="A360">
        <v>359</v>
      </c>
      <c r="B360">
        <v>132</v>
      </c>
      <c r="C360" t="s">
        <v>74</v>
      </c>
      <c r="D360" t="s">
        <v>367</v>
      </c>
      <c r="E360">
        <v>1000</v>
      </c>
      <c r="F360" t="s">
        <v>77</v>
      </c>
      <c r="G360" t="s">
        <v>78</v>
      </c>
      <c r="H360" t="s">
        <v>218</v>
      </c>
      <c r="I360">
        <v>0</v>
      </c>
      <c r="J360">
        <v>3796.1</v>
      </c>
      <c r="K360" t="s">
        <v>392</v>
      </c>
      <c r="L360" t="s">
        <v>232</v>
      </c>
      <c r="N360" t="s">
        <v>186</v>
      </c>
    </row>
    <row r="361" spans="1:14" x14ac:dyDescent="0.45">
      <c r="A361">
        <v>360</v>
      </c>
      <c r="B361">
        <v>133</v>
      </c>
      <c r="C361" t="s">
        <v>74</v>
      </c>
      <c r="D361" t="s">
        <v>369</v>
      </c>
      <c r="E361">
        <v>6040</v>
      </c>
      <c r="F361" t="s">
        <v>125</v>
      </c>
      <c r="G361" t="s">
        <v>117</v>
      </c>
      <c r="H361" t="s">
        <v>218</v>
      </c>
      <c r="I361">
        <v>1923.97</v>
      </c>
      <c r="J361">
        <v>0</v>
      </c>
      <c r="K361" t="s">
        <v>393</v>
      </c>
      <c r="L361" t="s">
        <v>226</v>
      </c>
      <c r="N361" t="s">
        <v>186</v>
      </c>
    </row>
    <row r="362" spans="1:14" x14ac:dyDescent="0.45">
      <c r="A362">
        <v>361</v>
      </c>
      <c r="B362">
        <v>133</v>
      </c>
      <c r="C362" t="s">
        <v>74</v>
      </c>
      <c r="D362" t="s">
        <v>369</v>
      </c>
      <c r="E362">
        <v>1000</v>
      </c>
      <c r="F362" t="s">
        <v>77</v>
      </c>
      <c r="G362" t="s">
        <v>78</v>
      </c>
      <c r="H362" t="s">
        <v>218</v>
      </c>
      <c r="I362">
        <v>0</v>
      </c>
      <c r="J362">
        <v>1539.18</v>
      </c>
      <c r="K362" t="s">
        <v>393</v>
      </c>
      <c r="L362" t="s">
        <v>226</v>
      </c>
      <c r="N362" t="s">
        <v>186</v>
      </c>
    </row>
    <row r="363" spans="1:14" x14ac:dyDescent="0.45">
      <c r="A363">
        <v>362</v>
      </c>
      <c r="B363">
        <v>133</v>
      </c>
      <c r="C363" t="s">
        <v>74</v>
      </c>
      <c r="D363" t="s">
        <v>369</v>
      </c>
      <c r="E363">
        <v>2000</v>
      </c>
      <c r="F363" t="s">
        <v>88</v>
      </c>
      <c r="G363" t="s">
        <v>89</v>
      </c>
      <c r="H363" t="s">
        <v>218</v>
      </c>
      <c r="I363">
        <v>0</v>
      </c>
      <c r="J363">
        <v>384.79</v>
      </c>
      <c r="K363" t="s">
        <v>393</v>
      </c>
      <c r="L363" t="s">
        <v>226</v>
      </c>
      <c r="N363" t="s">
        <v>186</v>
      </c>
    </row>
    <row r="364" spans="1:14" x14ac:dyDescent="0.45">
      <c r="A364">
        <v>363</v>
      </c>
      <c r="B364">
        <v>134</v>
      </c>
      <c r="C364" t="s">
        <v>74</v>
      </c>
      <c r="D364" t="s">
        <v>367</v>
      </c>
      <c r="E364">
        <v>6050</v>
      </c>
      <c r="F364" t="s">
        <v>127</v>
      </c>
      <c r="G364" t="s">
        <v>117</v>
      </c>
      <c r="H364" t="s">
        <v>218</v>
      </c>
      <c r="I364">
        <v>797.5</v>
      </c>
      <c r="J364">
        <v>0</v>
      </c>
      <c r="K364" t="s">
        <v>394</v>
      </c>
      <c r="L364" t="s">
        <v>236</v>
      </c>
      <c r="N364" t="s">
        <v>186</v>
      </c>
    </row>
    <row r="365" spans="1:14" x14ac:dyDescent="0.45">
      <c r="A365">
        <v>364</v>
      </c>
      <c r="B365">
        <v>134</v>
      </c>
      <c r="C365" t="s">
        <v>74</v>
      </c>
      <c r="D365" t="s">
        <v>367</v>
      </c>
      <c r="E365">
        <v>1200</v>
      </c>
      <c r="F365" t="s">
        <v>82</v>
      </c>
      <c r="G365" t="s">
        <v>78</v>
      </c>
      <c r="H365" t="s">
        <v>218</v>
      </c>
      <c r="I365">
        <v>0</v>
      </c>
      <c r="J365">
        <v>797.5</v>
      </c>
      <c r="K365" t="s">
        <v>394</v>
      </c>
      <c r="L365" t="s">
        <v>236</v>
      </c>
      <c r="N365" t="s">
        <v>186</v>
      </c>
    </row>
    <row r="366" spans="1:14" x14ac:dyDescent="0.45">
      <c r="A366">
        <v>365</v>
      </c>
      <c r="B366">
        <v>135</v>
      </c>
      <c r="C366" t="s">
        <v>74</v>
      </c>
      <c r="D366" t="s">
        <v>372</v>
      </c>
      <c r="E366">
        <v>6060</v>
      </c>
      <c r="F366" t="s">
        <v>129</v>
      </c>
      <c r="G366" t="s">
        <v>117</v>
      </c>
      <c r="H366" t="s">
        <v>218</v>
      </c>
      <c r="I366">
        <v>1189.6500000000001</v>
      </c>
      <c r="J366">
        <v>0</v>
      </c>
      <c r="K366" t="s">
        <v>395</v>
      </c>
      <c r="L366" t="s">
        <v>232</v>
      </c>
      <c r="N366" t="s">
        <v>186</v>
      </c>
    </row>
    <row r="367" spans="1:14" x14ac:dyDescent="0.45">
      <c r="A367">
        <v>366</v>
      </c>
      <c r="B367">
        <v>135</v>
      </c>
      <c r="C367" t="s">
        <v>74</v>
      </c>
      <c r="D367" t="s">
        <v>372</v>
      </c>
      <c r="E367">
        <v>1000</v>
      </c>
      <c r="F367" t="s">
        <v>77</v>
      </c>
      <c r="G367" t="s">
        <v>78</v>
      </c>
      <c r="H367" t="s">
        <v>218</v>
      </c>
      <c r="I367">
        <v>0</v>
      </c>
      <c r="J367">
        <v>1189.6500000000001</v>
      </c>
      <c r="K367" t="s">
        <v>395</v>
      </c>
      <c r="L367" t="s">
        <v>232</v>
      </c>
      <c r="N367" t="s">
        <v>186</v>
      </c>
    </row>
    <row r="368" spans="1:14" x14ac:dyDescent="0.45">
      <c r="A368">
        <v>367</v>
      </c>
      <c r="B368">
        <v>136</v>
      </c>
      <c r="C368" t="s">
        <v>74</v>
      </c>
      <c r="D368" t="s">
        <v>374</v>
      </c>
      <c r="E368">
        <v>7000</v>
      </c>
      <c r="F368" t="s">
        <v>133</v>
      </c>
      <c r="G368" t="s">
        <v>117</v>
      </c>
      <c r="H368" t="s">
        <v>218</v>
      </c>
      <c r="I368">
        <v>605</v>
      </c>
      <c r="J368">
        <v>0</v>
      </c>
      <c r="K368" t="s">
        <v>396</v>
      </c>
      <c r="L368" t="s">
        <v>241</v>
      </c>
      <c r="N368" t="s">
        <v>186</v>
      </c>
    </row>
    <row r="369" spans="1:14" x14ac:dyDescent="0.45">
      <c r="A369">
        <v>368</v>
      </c>
      <c r="B369">
        <v>136</v>
      </c>
      <c r="C369" t="s">
        <v>74</v>
      </c>
      <c r="D369" t="s">
        <v>374</v>
      </c>
      <c r="E369">
        <v>1500</v>
      </c>
      <c r="F369" t="s">
        <v>86</v>
      </c>
      <c r="G369" t="s">
        <v>78</v>
      </c>
      <c r="H369" t="s">
        <v>218</v>
      </c>
      <c r="I369">
        <v>0</v>
      </c>
      <c r="J369">
        <v>605</v>
      </c>
      <c r="K369" t="s">
        <v>396</v>
      </c>
      <c r="L369" t="s">
        <v>241</v>
      </c>
      <c r="N369" t="s">
        <v>186</v>
      </c>
    </row>
    <row r="370" spans="1:14" x14ac:dyDescent="0.45">
      <c r="A370">
        <v>369</v>
      </c>
      <c r="B370">
        <v>137</v>
      </c>
      <c r="C370" t="s">
        <v>74</v>
      </c>
      <c r="D370" t="s">
        <v>376</v>
      </c>
      <c r="E370">
        <v>2000</v>
      </c>
      <c r="F370" t="s">
        <v>88</v>
      </c>
      <c r="G370" t="s">
        <v>89</v>
      </c>
      <c r="H370" t="s">
        <v>218</v>
      </c>
      <c r="I370">
        <v>2190.3000000000002</v>
      </c>
      <c r="J370">
        <v>0</v>
      </c>
      <c r="K370" t="s">
        <v>397</v>
      </c>
      <c r="L370" t="s">
        <v>232</v>
      </c>
      <c r="N370" t="s">
        <v>186</v>
      </c>
    </row>
    <row r="371" spans="1:14" x14ac:dyDescent="0.45">
      <c r="A371">
        <v>370</v>
      </c>
      <c r="B371">
        <v>137</v>
      </c>
      <c r="C371" t="s">
        <v>74</v>
      </c>
      <c r="D371" t="s">
        <v>376</v>
      </c>
      <c r="E371">
        <v>1000</v>
      </c>
      <c r="F371" t="s">
        <v>77</v>
      </c>
      <c r="G371" t="s">
        <v>78</v>
      </c>
      <c r="H371" t="s">
        <v>218</v>
      </c>
      <c r="I371">
        <v>0</v>
      </c>
      <c r="J371">
        <v>2190.3000000000002</v>
      </c>
      <c r="K371" t="s">
        <v>397</v>
      </c>
      <c r="L371" t="s">
        <v>232</v>
      </c>
      <c r="N371" t="s">
        <v>186</v>
      </c>
    </row>
    <row r="372" spans="1:14" x14ac:dyDescent="0.45">
      <c r="A372">
        <v>371</v>
      </c>
      <c r="B372">
        <v>138</v>
      </c>
      <c r="C372" t="s">
        <v>72</v>
      </c>
      <c r="D372" t="s">
        <v>398</v>
      </c>
      <c r="E372">
        <v>1300</v>
      </c>
      <c r="F372" t="s">
        <v>84</v>
      </c>
      <c r="G372" t="s">
        <v>78</v>
      </c>
      <c r="H372" t="s">
        <v>261</v>
      </c>
      <c r="I372">
        <v>3320.72</v>
      </c>
      <c r="J372">
        <v>0</v>
      </c>
      <c r="K372" t="s">
        <v>399</v>
      </c>
      <c r="L372" t="s">
        <v>263</v>
      </c>
      <c r="M372" t="s">
        <v>73</v>
      </c>
      <c r="N372" t="s">
        <v>186</v>
      </c>
    </row>
    <row r="373" spans="1:14" x14ac:dyDescent="0.45">
      <c r="A373">
        <v>372</v>
      </c>
      <c r="B373">
        <v>138</v>
      </c>
      <c r="C373" t="s">
        <v>72</v>
      </c>
      <c r="D373" t="s">
        <v>398</v>
      </c>
      <c r="E373">
        <v>4090</v>
      </c>
      <c r="F373" t="s">
        <v>107</v>
      </c>
      <c r="G373" t="s">
        <v>99</v>
      </c>
      <c r="H373" t="s">
        <v>261</v>
      </c>
      <c r="I373">
        <v>0</v>
      </c>
      <c r="J373">
        <v>3320.72</v>
      </c>
      <c r="K373" t="s">
        <v>399</v>
      </c>
      <c r="L373" t="s">
        <v>263</v>
      </c>
      <c r="M373" t="s">
        <v>73</v>
      </c>
      <c r="N373" t="s">
        <v>186</v>
      </c>
    </row>
    <row r="374" spans="1:14" x14ac:dyDescent="0.45">
      <c r="A374">
        <v>373</v>
      </c>
      <c r="B374">
        <v>139</v>
      </c>
      <c r="C374" t="s">
        <v>73</v>
      </c>
      <c r="D374" t="s">
        <v>398</v>
      </c>
      <c r="E374">
        <v>6070</v>
      </c>
      <c r="F374" t="s">
        <v>131</v>
      </c>
      <c r="G374" t="s">
        <v>117</v>
      </c>
      <c r="H374" t="s">
        <v>261</v>
      </c>
      <c r="I374">
        <v>3320.72</v>
      </c>
      <c r="J374">
        <v>0</v>
      </c>
      <c r="K374" t="s">
        <v>400</v>
      </c>
      <c r="L374" t="s">
        <v>263</v>
      </c>
      <c r="M374" t="s">
        <v>72</v>
      </c>
      <c r="N374" t="s">
        <v>186</v>
      </c>
    </row>
    <row r="375" spans="1:14" x14ac:dyDescent="0.45">
      <c r="A375">
        <v>374</v>
      </c>
      <c r="B375">
        <v>139</v>
      </c>
      <c r="C375" t="s">
        <v>73</v>
      </c>
      <c r="D375" t="s">
        <v>398</v>
      </c>
      <c r="E375">
        <v>2200</v>
      </c>
      <c r="F375" t="s">
        <v>93</v>
      </c>
      <c r="G375" t="s">
        <v>89</v>
      </c>
      <c r="H375" t="s">
        <v>261</v>
      </c>
      <c r="I375">
        <v>0</v>
      </c>
      <c r="J375">
        <v>3320.72</v>
      </c>
      <c r="K375" t="s">
        <v>400</v>
      </c>
      <c r="L375" t="s">
        <v>263</v>
      </c>
      <c r="M375" t="s">
        <v>72</v>
      </c>
      <c r="N375" t="s">
        <v>186</v>
      </c>
    </row>
    <row r="376" spans="1:14" x14ac:dyDescent="0.45">
      <c r="A376">
        <v>375</v>
      </c>
      <c r="B376">
        <v>140</v>
      </c>
      <c r="C376" t="s">
        <v>73</v>
      </c>
      <c r="D376" t="s">
        <v>401</v>
      </c>
      <c r="E376">
        <v>2200</v>
      </c>
      <c r="F376" t="s">
        <v>93</v>
      </c>
      <c r="G376" t="s">
        <v>89</v>
      </c>
      <c r="H376" t="s">
        <v>261</v>
      </c>
      <c r="I376">
        <v>3288.48</v>
      </c>
      <c r="J376">
        <v>0</v>
      </c>
      <c r="K376" t="s">
        <v>402</v>
      </c>
      <c r="L376" t="s">
        <v>309</v>
      </c>
      <c r="M376" t="s">
        <v>72</v>
      </c>
      <c r="N376" t="s">
        <v>186</v>
      </c>
    </row>
    <row r="377" spans="1:14" x14ac:dyDescent="0.45">
      <c r="A377">
        <v>376</v>
      </c>
      <c r="B377">
        <v>140</v>
      </c>
      <c r="C377" t="s">
        <v>73</v>
      </c>
      <c r="D377" t="s">
        <v>401</v>
      </c>
      <c r="E377">
        <v>1000</v>
      </c>
      <c r="F377" t="s">
        <v>77</v>
      </c>
      <c r="G377" t="s">
        <v>78</v>
      </c>
      <c r="H377" t="s">
        <v>218</v>
      </c>
      <c r="I377">
        <v>0</v>
      </c>
      <c r="J377">
        <v>3288.48</v>
      </c>
      <c r="K377" t="s">
        <v>402</v>
      </c>
      <c r="L377" t="s">
        <v>309</v>
      </c>
      <c r="M377" t="s">
        <v>72</v>
      </c>
      <c r="N377" t="s">
        <v>186</v>
      </c>
    </row>
    <row r="378" spans="1:14" x14ac:dyDescent="0.45">
      <c r="A378">
        <v>377</v>
      </c>
      <c r="B378">
        <v>141</v>
      </c>
      <c r="C378" t="s">
        <v>72</v>
      </c>
      <c r="D378" t="s">
        <v>401</v>
      </c>
      <c r="E378">
        <v>1000</v>
      </c>
      <c r="F378" t="s">
        <v>77</v>
      </c>
      <c r="G378" t="s">
        <v>78</v>
      </c>
      <c r="H378" t="s">
        <v>218</v>
      </c>
      <c r="I378">
        <v>3288.48</v>
      </c>
      <c r="J378">
        <v>0</v>
      </c>
      <c r="K378" t="s">
        <v>403</v>
      </c>
      <c r="L378" t="s">
        <v>309</v>
      </c>
      <c r="M378" t="s">
        <v>73</v>
      </c>
      <c r="N378" t="s">
        <v>186</v>
      </c>
    </row>
    <row r="379" spans="1:14" x14ac:dyDescent="0.45">
      <c r="A379">
        <v>378</v>
      </c>
      <c r="B379">
        <v>141</v>
      </c>
      <c r="C379" t="s">
        <v>72</v>
      </c>
      <c r="D379" t="s">
        <v>401</v>
      </c>
      <c r="E379">
        <v>1300</v>
      </c>
      <c r="F379" t="s">
        <v>84</v>
      </c>
      <c r="G379" t="s">
        <v>78</v>
      </c>
      <c r="H379" t="s">
        <v>261</v>
      </c>
      <c r="I379">
        <v>0</v>
      </c>
      <c r="J379">
        <v>3288.48</v>
      </c>
      <c r="K379" t="s">
        <v>403</v>
      </c>
      <c r="L379" t="s">
        <v>309</v>
      </c>
      <c r="M379" t="s">
        <v>73</v>
      </c>
      <c r="N379" t="s">
        <v>186</v>
      </c>
    </row>
    <row r="380" spans="1:14" x14ac:dyDescent="0.45">
      <c r="A380">
        <v>379</v>
      </c>
      <c r="B380">
        <v>142</v>
      </c>
      <c r="C380" t="s">
        <v>72</v>
      </c>
      <c r="D380" t="s">
        <v>398</v>
      </c>
      <c r="E380">
        <v>1300</v>
      </c>
      <c r="F380" t="s">
        <v>84</v>
      </c>
      <c r="G380" t="s">
        <v>78</v>
      </c>
      <c r="H380" t="s">
        <v>261</v>
      </c>
      <c r="I380">
        <v>2945.8</v>
      </c>
      <c r="J380">
        <v>0</v>
      </c>
      <c r="K380" t="s">
        <v>404</v>
      </c>
      <c r="L380" t="s">
        <v>263</v>
      </c>
      <c r="M380" t="s">
        <v>74</v>
      </c>
      <c r="N380" t="s">
        <v>186</v>
      </c>
    </row>
    <row r="381" spans="1:14" x14ac:dyDescent="0.45">
      <c r="A381">
        <v>380</v>
      </c>
      <c r="B381">
        <v>142</v>
      </c>
      <c r="C381" t="s">
        <v>72</v>
      </c>
      <c r="D381" t="s">
        <v>398</v>
      </c>
      <c r="E381">
        <v>4090</v>
      </c>
      <c r="F381" t="s">
        <v>107</v>
      </c>
      <c r="G381" t="s">
        <v>99</v>
      </c>
      <c r="H381" t="s">
        <v>261</v>
      </c>
      <c r="I381">
        <v>0</v>
      </c>
      <c r="J381">
        <v>2945.8</v>
      </c>
      <c r="K381" t="s">
        <v>404</v>
      </c>
      <c r="L381" t="s">
        <v>263</v>
      </c>
      <c r="M381" t="s">
        <v>74</v>
      </c>
      <c r="N381" t="s">
        <v>186</v>
      </c>
    </row>
    <row r="382" spans="1:14" x14ac:dyDescent="0.45">
      <c r="A382">
        <v>381</v>
      </c>
      <c r="B382">
        <v>143</v>
      </c>
      <c r="C382" t="s">
        <v>74</v>
      </c>
      <c r="D382" t="s">
        <v>398</v>
      </c>
      <c r="E382">
        <v>6070</v>
      </c>
      <c r="F382" t="s">
        <v>131</v>
      </c>
      <c r="G382" t="s">
        <v>117</v>
      </c>
      <c r="H382" t="s">
        <v>261</v>
      </c>
      <c r="I382">
        <v>2945.8</v>
      </c>
      <c r="J382">
        <v>0</v>
      </c>
      <c r="K382" t="s">
        <v>400</v>
      </c>
      <c r="L382" t="s">
        <v>263</v>
      </c>
      <c r="M382" t="s">
        <v>72</v>
      </c>
      <c r="N382" t="s">
        <v>186</v>
      </c>
    </row>
    <row r="383" spans="1:14" x14ac:dyDescent="0.45">
      <c r="A383">
        <v>382</v>
      </c>
      <c r="B383">
        <v>143</v>
      </c>
      <c r="C383" t="s">
        <v>74</v>
      </c>
      <c r="D383" t="s">
        <v>398</v>
      </c>
      <c r="E383">
        <v>2200</v>
      </c>
      <c r="F383" t="s">
        <v>93</v>
      </c>
      <c r="G383" t="s">
        <v>89</v>
      </c>
      <c r="H383" t="s">
        <v>261</v>
      </c>
      <c r="I383">
        <v>0</v>
      </c>
      <c r="J383">
        <v>2945.8</v>
      </c>
      <c r="K383" t="s">
        <v>400</v>
      </c>
      <c r="L383" t="s">
        <v>263</v>
      </c>
      <c r="M383" t="s">
        <v>72</v>
      </c>
      <c r="N383" t="s">
        <v>186</v>
      </c>
    </row>
    <row r="384" spans="1:14" x14ac:dyDescent="0.45">
      <c r="A384">
        <v>383</v>
      </c>
      <c r="B384">
        <v>144</v>
      </c>
      <c r="C384" t="s">
        <v>74</v>
      </c>
      <c r="D384" t="s">
        <v>401</v>
      </c>
      <c r="E384">
        <v>2200</v>
      </c>
      <c r="F384" t="s">
        <v>93</v>
      </c>
      <c r="G384" t="s">
        <v>89</v>
      </c>
      <c r="H384" t="s">
        <v>261</v>
      </c>
      <c r="I384">
        <v>2917.2</v>
      </c>
      <c r="J384">
        <v>0</v>
      </c>
      <c r="K384" t="s">
        <v>402</v>
      </c>
      <c r="L384" t="s">
        <v>309</v>
      </c>
      <c r="M384" t="s">
        <v>72</v>
      </c>
      <c r="N384" t="s">
        <v>186</v>
      </c>
    </row>
    <row r="385" spans="1:14" x14ac:dyDescent="0.45">
      <c r="A385">
        <v>384</v>
      </c>
      <c r="B385">
        <v>144</v>
      </c>
      <c r="C385" t="s">
        <v>74</v>
      </c>
      <c r="D385" t="s">
        <v>401</v>
      </c>
      <c r="E385">
        <v>1000</v>
      </c>
      <c r="F385" t="s">
        <v>77</v>
      </c>
      <c r="G385" t="s">
        <v>78</v>
      </c>
      <c r="H385" t="s">
        <v>218</v>
      </c>
      <c r="I385">
        <v>0</v>
      </c>
      <c r="J385">
        <v>2917.2</v>
      </c>
      <c r="K385" t="s">
        <v>402</v>
      </c>
      <c r="L385" t="s">
        <v>309</v>
      </c>
      <c r="M385" t="s">
        <v>72</v>
      </c>
      <c r="N385" t="s">
        <v>186</v>
      </c>
    </row>
    <row r="386" spans="1:14" x14ac:dyDescent="0.45">
      <c r="A386">
        <v>385</v>
      </c>
      <c r="B386">
        <v>145</v>
      </c>
      <c r="C386" t="s">
        <v>72</v>
      </c>
      <c r="D386" t="s">
        <v>401</v>
      </c>
      <c r="E386">
        <v>1000</v>
      </c>
      <c r="F386" t="s">
        <v>77</v>
      </c>
      <c r="G386" t="s">
        <v>78</v>
      </c>
      <c r="H386" t="s">
        <v>218</v>
      </c>
      <c r="I386">
        <v>2917.2</v>
      </c>
      <c r="J386">
        <v>0</v>
      </c>
      <c r="K386" t="s">
        <v>405</v>
      </c>
      <c r="L386" t="s">
        <v>309</v>
      </c>
      <c r="M386" t="s">
        <v>74</v>
      </c>
      <c r="N386" t="s">
        <v>186</v>
      </c>
    </row>
    <row r="387" spans="1:14" x14ac:dyDescent="0.45">
      <c r="A387">
        <v>386</v>
      </c>
      <c r="B387">
        <v>145</v>
      </c>
      <c r="C387" t="s">
        <v>72</v>
      </c>
      <c r="D387" t="s">
        <v>401</v>
      </c>
      <c r="E387">
        <v>1300</v>
      </c>
      <c r="F387" t="s">
        <v>84</v>
      </c>
      <c r="G387" t="s">
        <v>78</v>
      </c>
      <c r="H387" t="s">
        <v>261</v>
      </c>
      <c r="I387">
        <v>0</v>
      </c>
      <c r="J387">
        <v>2917.2</v>
      </c>
      <c r="K387" t="s">
        <v>405</v>
      </c>
      <c r="L387" t="s">
        <v>309</v>
      </c>
      <c r="M387" t="s">
        <v>74</v>
      </c>
      <c r="N387" t="s">
        <v>186</v>
      </c>
    </row>
    <row r="388" spans="1:14" x14ac:dyDescent="0.45">
      <c r="A388">
        <v>387</v>
      </c>
      <c r="B388">
        <v>146</v>
      </c>
      <c r="C388" t="s">
        <v>72</v>
      </c>
      <c r="D388" t="s">
        <v>406</v>
      </c>
      <c r="E388">
        <v>1100</v>
      </c>
      <c r="F388" t="s">
        <v>80</v>
      </c>
      <c r="G388" t="s">
        <v>78</v>
      </c>
      <c r="H388" t="s">
        <v>218</v>
      </c>
      <c r="I388">
        <v>95749.8</v>
      </c>
      <c r="J388">
        <v>0</v>
      </c>
      <c r="K388" t="s">
        <v>407</v>
      </c>
      <c r="L388" t="s">
        <v>220</v>
      </c>
      <c r="N388" t="s">
        <v>187</v>
      </c>
    </row>
    <row r="389" spans="1:14" x14ac:dyDescent="0.45">
      <c r="A389">
        <v>388</v>
      </c>
      <c r="B389">
        <v>146</v>
      </c>
      <c r="C389" t="s">
        <v>72</v>
      </c>
      <c r="D389" t="s">
        <v>406</v>
      </c>
      <c r="E389">
        <v>4010</v>
      </c>
      <c r="F389" t="s">
        <v>101</v>
      </c>
      <c r="G389" t="s">
        <v>99</v>
      </c>
      <c r="H389" t="s">
        <v>218</v>
      </c>
      <c r="I389">
        <v>0</v>
      </c>
      <c r="J389">
        <v>40214.92</v>
      </c>
      <c r="K389" t="s">
        <v>407</v>
      </c>
      <c r="L389" t="s">
        <v>220</v>
      </c>
      <c r="N389" t="s">
        <v>187</v>
      </c>
    </row>
    <row r="390" spans="1:14" x14ac:dyDescent="0.45">
      <c r="A390">
        <v>389</v>
      </c>
      <c r="B390">
        <v>146</v>
      </c>
      <c r="C390" t="s">
        <v>72</v>
      </c>
      <c r="D390" t="s">
        <v>406</v>
      </c>
      <c r="E390">
        <v>4020</v>
      </c>
      <c r="F390" t="s">
        <v>103</v>
      </c>
      <c r="G390" t="s">
        <v>99</v>
      </c>
      <c r="H390" t="s">
        <v>218</v>
      </c>
      <c r="I390">
        <v>0</v>
      </c>
      <c r="J390">
        <v>31597.43</v>
      </c>
      <c r="K390" t="s">
        <v>407</v>
      </c>
      <c r="L390" t="s">
        <v>220</v>
      </c>
      <c r="N390" t="s">
        <v>187</v>
      </c>
    </row>
    <row r="391" spans="1:14" x14ac:dyDescent="0.45">
      <c r="A391">
        <v>390</v>
      </c>
      <c r="B391">
        <v>146</v>
      </c>
      <c r="C391" t="s">
        <v>72</v>
      </c>
      <c r="D391" t="s">
        <v>406</v>
      </c>
      <c r="E391">
        <v>4030</v>
      </c>
      <c r="F391" t="s">
        <v>105</v>
      </c>
      <c r="G391" t="s">
        <v>99</v>
      </c>
      <c r="H391" t="s">
        <v>218</v>
      </c>
      <c r="I391">
        <v>0</v>
      </c>
      <c r="J391">
        <v>23937.45</v>
      </c>
      <c r="K391" t="s">
        <v>407</v>
      </c>
      <c r="L391" t="s">
        <v>220</v>
      </c>
      <c r="N391" t="s">
        <v>187</v>
      </c>
    </row>
    <row r="392" spans="1:14" x14ac:dyDescent="0.45">
      <c r="A392">
        <v>391</v>
      </c>
      <c r="B392">
        <v>147</v>
      </c>
      <c r="C392" t="s">
        <v>72</v>
      </c>
      <c r="D392" t="s">
        <v>408</v>
      </c>
      <c r="E392">
        <v>1000</v>
      </c>
      <c r="F392" t="s">
        <v>77</v>
      </c>
      <c r="G392" t="s">
        <v>78</v>
      </c>
      <c r="H392" t="s">
        <v>218</v>
      </c>
      <c r="I392">
        <v>85800.639999999999</v>
      </c>
      <c r="J392">
        <v>0</v>
      </c>
      <c r="K392" t="s">
        <v>409</v>
      </c>
      <c r="L392" t="s">
        <v>223</v>
      </c>
      <c r="N392" t="s">
        <v>187</v>
      </c>
    </row>
    <row r="393" spans="1:14" x14ac:dyDescent="0.45">
      <c r="A393">
        <v>392</v>
      </c>
      <c r="B393">
        <v>147</v>
      </c>
      <c r="C393" t="s">
        <v>72</v>
      </c>
      <c r="D393" t="s">
        <v>408</v>
      </c>
      <c r="E393">
        <v>1100</v>
      </c>
      <c r="F393" t="s">
        <v>80</v>
      </c>
      <c r="G393" t="s">
        <v>78</v>
      </c>
      <c r="H393" t="s">
        <v>218</v>
      </c>
      <c r="I393">
        <v>0</v>
      </c>
      <c r="J393">
        <v>85800.639999999999</v>
      </c>
      <c r="K393" t="s">
        <v>409</v>
      </c>
      <c r="L393" t="s">
        <v>223</v>
      </c>
      <c r="N393" t="s">
        <v>187</v>
      </c>
    </row>
    <row r="394" spans="1:14" x14ac:dyDescent="0.45">
      <c r="A394">
        <v>393</v>
      </c>
      <c r="B394">
        <v>148</v>
      </c>
      <c r="C394" t="s">
        <v>72</v>
      </c>
      <c r="D394" t="s">
        <v>410</v>
      </c>
      <c r="E394">
        <v>5010</v>
      </c>
      <c r="F394" t="s">
        <v>112</v>
      </c>
      <c r="G394" t="s">
        <v>110</v>
      </c>
      <c r="H394" t="s">
        <v>218</v>
      </c>
      <c r="I394">
        <v>5437.97</v>
      </c>
      <c r="J394">
        <v>0</v>
      </c>
      <c r="K394" t="s">
        <v>411</v>
      </c>
      <c r="L394" t="s">
        <v>226</v>
      </c>
      <c r="N394" t="s">
        <v>187</v>
      </c>
    </row>
    <row r="395" spans="1:14" x14ac:dyDescent="0.45">
      <c r="A395">
        <v>394</v>
      </c>
      <c r="B395">
        <v>148</v>
      </c>
      <c r="C395" t="s">
        <v>72</v>
      </c>
      <c r="D395" t="s">
        <v>410</v>
      </c>
      <c r="E395">
        <v>5020</v>
      </c>
      <c r="F395" t="s">
        <v>114</v>
      </c>
      <c r="G395" t="s">
        <v>110</v>
      </c>
      <c r="H395" t="s">
        <v>218</v>
      </c>
      <c r="I395">
        <v>4449.24</v>
      </c>
      <c r="J395">
        <v>0</v>
      </c>
      <c r="K395" t="s">
        <v>411</v>
      </c>
      <c r="L395" t="s">
        <v>226</v>
      </c>
      <c r="N395" t="s">
        <v>187</v>
      </c>
    </row>
    <row r="396" spans="1:14" x14ac:dyDescent="0.45">
      <c r="A396">
        <v>395</v>
      </c>
      <c r="B396">
        <v>148</v>
      </c>
      <c r="C396" t="s">
        <v>72</v>
      </c>
      <c r="D396" t="s">
        <v>410</v>
      </c>
      <c r="E396">
        <v>1000</v>
      </c>
      <c r="F396" t="s">
        <v>77</v>
      </c>
      <c r="G396" t="s">
        <v>78</v>
      </c>
      <c r="H396" t="s">
        <v>218</v>
      </c>
      <c r="I396">
        <v>0</v>
      </c>
      <c r="J396">
        <v>6921.05</v>
      </c>
      <c r="K396" t="s">
        <v>411</v>
      </c>
      <c r="L396" t="s">
        <v>226</v>
      </c>
      <c r="N396" t="s">
        <v>187</v>
      </c>
    </row>
    <row r="397" spans="1:14" x14ac:dyDescent="0.45">
      <c r="A397">
        <v>396</v>
      </c>
      <c r="B397">
        <v>148</v>
      </c>
      <c r="C397" t="s">
        <v>72</v>
      </c>
      <c r="D397" t="s">
        <v>410</v>
      </c>
      <c r="E397">
        <v>2000</v>
      </c>
      <c r="F397" t="s">
        <v>88</v>
      </c>
      <c r="G397" t="s">
        <v>89</v>
      </c>
      <c r="H397" t="s">
        <v>218</v>
      </c>
      <c r="I397">
        <v>0</v>
      </c>
      <c r="J397">
        <v>2966.16</v>
      </c>
      <c r="K397" t="s">
        <v>411</v>
      </c>
      <c r="L397" t="s">
        <v>226</v>
      </c>
      <c r="N397" t="s">
        <v>187</v>
      </c>
    </row>
    <row r="398" spans="1:14" x14ac:dyDescent="0.45">
      <c r="A398">
        <v>397</v>
      </c>
      <c r="B398">
        <v>149</v>
      </c>
      <c r="C398" t="s">
        <v>72</v>
      </c>
      <c r="D398" t="s">
        <v>412</v>
      </c>
      <c r="E398">
        <v>6010</v>
      </c>
      <c r="F398" t="s">
        <v>119</v>
      </c>
      <c r="G398" t="s">
        <v>117</v>
      </c>
      <c r="H398" t="s">
        <v>218</v>
      </c>
      <c r="I398">
        <v>42968</v>
      </c>
      <c r="J398">
        <v>0</v>
      </c>
      <c r="K398" t="s">
        <v>413</v>
      </c>
      <c r="L398" t="s">
        <v>229</v>
      </c>
      <c r="N398" t="s">
        <v>187</v>
      </c>
    </row>
    <row r="399" spans="1:14" x14ac:dyDescent="0.45">
      <c r="A399">
        <v>398</v>
      </c>
      <c r="B399">
        <v>149</v>
      </c>
      <c r="C399" t="s">
        <v>72</v>
      </c>
      <c r="D399" t="s">
        <v>412</v>
      </c>
      <c r="E399">
        <v>6020</v>
      </c>
      <c r="F399" t="s">
        <v>121</v>
      </c>
      <c r="G399" t="s">
        <v>117</v>
      </c>
      <c r="H399" t="s">
        <v>218</v>
      </c>
      <c r="I399">
        <v>6015.52</v>
      </c>
      <c r="J399">
        <v>0</v>
      </c>
      <c r="K399" t="s">
        <v>413</v>
      </c>
      <c r="L399" t="s">
        <v>229</v>
      </c>
      <c r="N399" t="s">
        <v>187</v>
      </c>
    </row>
    <row r="400" spans="1:14" x14ac:dyDescent="0.45">
      <c r="A400">
        <v>399</v>
      </c>
      <c r="B400">
        <v>149</v>
      </c>
      <c r="C400" t="s">
        <v>72</v>
      </c>
      <c r="D400" t="s">
        <v>412</v>
      </c>
      <c r="E400">
        <v>1000</v>
      </c>
      <c r="F400" t="s">
        <v>77</v>
      </c>
      <c r="G400" t="s">
        <v>78</v>
      </c>
      <c r="H400" t="s">
        <v>218</v>
      </c>
      <c r="I400">
        <v>0</v>
      </c>
      <c r="J400">
        <v>48927.43</v>
      </c>
      <c r="K400" t="s">
        <v>413</v>
      </c>
      <c r="L400" t="s">
        <v>229</v>
      </c>
      <c r="N400" t="s">
        <v>187</v>
      </c>
    </row>
    <row r="401" spans="1:14" x14ac:dyDescent="0.45">
      <c r="A401">
        <v>400</v>
      </c>
      <c r="B401">
        <v>149</v>
      </c>
      <c r="C401" t="s">
        <v>72</v>
      </c>
      <c r="D401" t="s">
        <v>412</v>
      </c>
      <c r="E401">
        <v>2100</v>
      </c>
      <c r="F401" t="s">
        <v>91</v>
      </c>
      <c r="G401" t="s">
        <v>89</v>
      </c>
      <c r="H401" t="s">
        <v>218</v>
      </c>
      <c r="I401">
        <v>0</v>
      </c>
      <c r="J401">
        <v>4898.3500000000004</v>
      </c>
      <c r="K401" t="s">
        <v>413</v>
      </c>
      <c r="L401" t="s">
        <v>229</v>
      </c>
      <c r="N401" t="s">
        <v>187</v>
      </c>
    </row>
    <row r="402" spans="1:14" x14ac:dyDescent="0.45">
      <c r="A402">
        <v>401</v>
      </c>
      <c r="B402">
        <v>149</v>
      </c>
      <c r="C402" t="s">
        <v>72</v>
      </c>
      <c r="D402" t="s">
        <v>412</v>
      </c>
      <c r="E402">
        <v>2100</v>
      </c>
      <c r="F402" t="s">
        <v>91</v>
      </c>
      <c r="G402" t="s">
        <v>89</v>
      </c>
      <c r="H402" t="s">
        <v>218</v>
      </c>
      <c r="I402">
        <v>4842.26</v>
      </c>
      <c r="J402">
        <v>0</v>
      </c>
      <c r="K402" t="s">
        <v>413</v>
      </c>
      <c r="L402" t="s">
        <v>229</v>
      </c>
      <c r="N402" t="s">
        <v>187</v>
      </c>
    </row>
    <row r="403" spans="1:14" x14ac:dyDescent="0.45">
      <c r="A403">
        <v>402</v>
      </c>
      <c r="B403">
        <v>150</v>
      </c>
      <c r="C403" t="s">
        <v>72</v>
      </c>
      <c r="D403" t="s">
        <v>414</v>
      </c>
      <c r="E403">
        <v>6030</v>
      </c>
      <c r="F403" t="s">
        <v>123</v>
      </c>
      <c r="G403" t="s">
        <v>117</v>
      </c>
      <c r="H403" t="s">
        <v>218</v>
      </c>
      <c r="I403">
        <v>6936</v>
      </c>
      <c r="J403">
        <v>0</v>
      </c>
      <c r="K403" t="s">
        <v>415</v>
      </c>
      <c r="L403" t="s">
        <v>232</v>
      </c>
      <c r="N403" t="s">
        <v>187</v>
      </c>
    </row>
    <row r="404" spans="1:14" x14ac:dyDescent="0.45">
      <c r="A404">
        <v>403</v>
      </c>
      <c r="B404">
        <v>150</v>
      </c>
      <c r="C404" t="s">
        <v>72</v>
      </c>
      <c r="D404" t="s">
        <v>414</v>
      </c>
      <c r="E404">
        <v>1000</v>
      </c>
      <c r="F404" t="s">
        <v>77</v>
      </c>
      <c r="G404" t="s">
        <v>78</v>
      </c>
      <c r="H404" t="s">
        <v>218</v>
      </c>
      <c r="I404">
        <v>0</v>
      </c>
      <c r="J404">
        <v>6936</v>
      </c>
      <c r="K404" t="s">
        <v>415</v>
      </c>
      <c r="L404" t="s">
        <v>232</v>
      </c>
      <c r="N404" t="s">
        <v>187</v>
      </c>
    </row>
    <row r="405" spans="1:14" x14ac:dyDescent="0.45">
      <c r="A405">
        <v>404</v>
      </c>
      <c r="B405">
        <v>151</v>
      </c>
      <c r="C405" t="s">
        <v>72</v>
      </c>
      <c r="D405" t="s">
        <v>416</v>
      </c>
      <c r="E405">
        <v>6040</v>
      </c>
      <c r="F405" t="s">
        <v>125</v>
      </c>
      <c r="G405" t="s">
        <v>117</v>
      </c>
      <c r="H405" t="s">
        <v>218</v>
      </c>
      <c r="I405">
        <v>3177.89</v>
      </c>
      <c r="J405">
        <v>0</v>
      </c>
      <c r="K405" t="s">
        <v>417</v>
      </c>
      <c r="L405" t="s">
        <v>226</v>
      </c>
      <c r="N405" t="s">
        <v>187</v>
      </c>
    </row>
    <row r="406" spans="1:14" x14ac:dyDescent="0.45">
      <c r="A406">
        <v>405</v>
      </c>
      <c r="B406">
        <v>151</v>
      </c>
      <c r="C406" t="s">
        <v>72</v>
      </c>
      <c r="D406" t="s">
        <v>416</v>
      </c>
      <c r="E406">
        <v>1000</v>
      </c>
      <c r="F406" t="s">
        <v>77</v>
      </c>
      <c r="G406" t="s">
        <v>78</v>
      </c>
      <c r="H406" t="s">
        <v>218</v>
      </c>
      <c r="I406">
        <v>0</v>
      </c>
      <c r="J406">
        <v>2542.31</v>
      </c>
      <c r="K406" t="s">
        <v>417</v>
      </c>
      <c r="L406" t="s">
        <v>226</v>
      </c>
      <c r="N406" t="s">
        <v>187</v>
      </c>
    </row>
    <row r="407" spans="1:14" x14ac:dyDescent="0.45">
      <c r="A407">
        <v>406</v>
      </c>
      <c r="B407">
        <v>151</v>
      </c>
      <c r="C407" t="s">
        <v>72</v>
      </c>
      <c r="D407" t="s">
        <v>416</v>
      </c>
      <c r="E407">
        <v>2000</v>
      </c>
      <c r="F407" t="s">
        <v>88</v>
      </c>
      <c r="G407" t="s">
        <v>89</v>
      </c>
      <c r="H407" t="s">
        <v>218</v>
      </c>
      <c r="I407">
        <v>0</v>
      </c>
      <c r="J407">
        <v>635.58000000000004</v>
      </c>
      <c r="K407" t="s">
        <v>417</v>
      </c>
      <c r="L407" t="s">
        <v>226</v>
      </c>
      <c r="N407" t="s">
        <v>187</v>
      </c>
    </row>
    <row r="408" spans="1:14" x14ac:dyDescent="0.45">
      <c r="A408">
        <v>407</v>
      </c>
      <c r="B408">
        <v>152</v>
      </c>
      <c r="C408" t="s">
        <v>72</v>
      </c>
      <c r="D408" t="s">
        <v>414</v>
      </c>
      <c r="E408">
        <v>6050</v>
      </c>
      <c r="F408" t="s">
        <v>127</v>
      </c>
      <c r="G408" t="s">
        <v>117</v>
      </c>
      <c r="H408" t="s">
        <v>218</v>
      </c>
      <c r="I408">
        <v>1450</v>
      </c>
      <c r="J408">
        <v>0</v>
      </c>
      <c r="K408" t="s">
        <v>418</v>
      </c>
      <c r="L408" t="s">
        <v>236</v>
      </c>
      <c r="N408" t="s">
        <v>187</v>
      </c>
    </row>
    <row r="409" spans="1:14" x14ac:dyDescent="0.45">
      <c r="A409">
        <v>408</v>
      </c>
      <c r="B409">
        <v>152</v>
      </c>
      <c r="C409" t="s">
        <v>72</v>
      </c>
      <c r="D409" t="s">
        <v>414</v>
      </c>
      <c r="E409">
        <v>1200</v>
      </c>
      <c r="F409" t="s">
        <v>82</v>
      </c>
      <c r="G409" t="s">
        <v>78</v>
      </c>
      <c r="H409" t="s">
        <v>218</v>
      </c>
      <c r="I409">
        <v>0</v>
      </c>
      <c r="J409">
        <v>1450</v>
      </c>
      <c r="K409" t="s">
        <v>418</v>
      </c>
      <c r="L409" t="s">
        <v>236</v>
      </c>
      <c r="N409" t="s">
        <v>187</v>
      </c>
    </row>
    <row r="410" spans="1:14" x14ac:dyDescent="0.45">
      <c r="A410">
        <v>409</v>
      </c>
      <c r="B410">
        <v>153</v>
      </c>
      <c r="C410" t="s">
        <v>72</v>
      </c>
      <c r="D410" t="s">
        <v>419</v>
      </c>
      <c r="E410">
        <v>6060</v>
      </c>
      <c r="F410" t="s">
        <v>129</v>
      </c>
      <c r="G410" t="s">
        <v>117</v>
      </c>
      <c r="H410" t="s">
        <v>218</v>
      </c>
      <c r="I410">
        <v>2184</v>
      </c>
      <c r="J410">
        <v>0</v>
      </c>
      <c r="K410" t="s">
        <v>420</v>
      </c>
      <c r="L410" t="s">
        <v>232</v>
      </c>
      <c r="N410" t="s">
        <v>187</v>
      </c>
    </row>
    <row r="411" spans="1:14" x14ac:dyDescent="0.45">
      <c r="A411">
        <v>410</v>
      </c>
      <c r="B411">
        <v>153</v>
      </c>
      <c r="C411" t="s">
        <v>72</v>
      </c>
      <c r="D411" t="s">
        <v>419</v>
      </c>
      <c r="E411">
        <v>1000</v>
      </c>
      <c r="F411" t="s">
        <v>77</v>
      </c>
      <c r="G411" t="s">
        <v>78</v>
      </c>
      <c r="H411" t="s">
        <v>218</v>
      </c>
      <c r="I411">
        <v>0</v>
      </c>
      <c r="J411">
        <v>2184</v>
      </c>
      <c r="K411" t="s">
        <v>420</v>
      </c>
      <c r="L411" t="s">
        <v>232</v>
      </c>
      <c r="N411" t="s">
        <v>187</v>
      </c>
    </row>
    <row r="412" spans="1:14" x14ac:dyDescent="0.45">
      <c r="A412">
        <v>411</v>
      </c>
      <c r="B412">
        <v>154</v>
      </c>
      <c r="C412" t="s">
        <v>72</v>
      </c>
      <c r="D412" t="s">
        <v>421</v>
      </c>
      <c r="E412">
        <v>7000</v>
      </c>
      <c r="F412" t="s">
        <v>133</v>
      </c>
      <c r="G412" t="s">
        <v>117</v>
      </c>
      <c r="H412" t="s">
        <v>218</v>
      </c>
      <c r="I412">
        <v>1100</v>
      </c>
      <c r="J412">
        <v>0</v>
      </c>
      <c r="K412" t="s">
        <v>422</v>
      </c>
      <c r="L412" t="s">
        <v>241</v>
      </c>
      <c r="N412" t="s">
        <v>187</v>
      </c>
    </row>
    <row r="413" spans="1:14" x14ac:dyDescent="0.45">
      <c r="A413">
        <v>412</v>
      </c>
      <c r="B413">
        <v>154</v>
      </c>
      <c r="C413" t="s">
        <v>72</v>
      </c>
      <c r="D413" t="s">
        <v>421</v>
      </c>
      <c r="E413">
        <v>1500</v>
      </c>
      <c r="F413" t="s">
        <v>86</v>
      </c>
      <c r="G413" t="s">
        <v>78</v>
      </c>
      <c r="H413" t="s">
        <v>218</v>
      </c>
      <c r="I413">
        <v>0</v>
      </c>
      <c r="J413">
        <v>1100</v>
      </c>
      <c r="K413" t="s">
        <v>422</v>
      </c>
      <c r="L413" t="s">
        <v>241</v>
      </c>
      <c r="N413" t="s">
        <v>187</v>
      </c>
    </row>
    <row r="414" spans="1:14" x14ac:dyDescent="0.45">
      <c r="A414">
        <v>413</v>
      </c>
      <c r="B414">
        <v>155</v>
      </c>
      <c r="C414" t="s">
        <v>72</v>
      </c>
      <c r="D414" t="s">
        <v>423</v>
      </c>
      <c r="E414">
        <v>2000</v>
      </c>
      <c r="F414" t="s">
        <v>88</v>
      </c>
      <c r="G414" t="s">
        <v>89</v>
      </c>
      <c r="H414" t="s">
        <v>218</v>
      </c>
      <c r="I414">
        <v>3591.95</v>
      </c>
      <c r="J414">
        <v>0</v>
      </c>
      <c r="K414" t="s">
        <v>424</v>
      </c>
      <c r="L414" t="s">
        <v>232</v>
      </c>
      <c r="N414" t="s">
        <v>187</v>
      </c>
    </row>
    <row r="415" spans="1:14" x14ac:dyDescent="0.45">
      <c r="A415">
        <v>414</v>
      </c>
      <c r="B415">
        <v>155</v>
      </c>
      <c r="C415" t="s">
        <v>72</v>
      </c>
      <c r="D415" t="s">
        <v>423</v>
      </c>
      <c r="E415">
        <v>1000</v>
      </c>
      <c r="F415" t="s">
        <v>77</v>
      </c>
      <c r="G415" t="s">
        <v>78</v>
      </c>
      <c r="H415" t="s">
        <v>218</v>
      </c>
      <c r="I415">
        <v>0</v>
      </c>
      <c r="J415">
        <v>3591.95</v>
      </c>
      <c r="K415" t="s">
        <v>424</v>
      </c>
      <c r="L415" t="s">
        <v>232</v>
      </c>
      <c r="N415" t="s">
        <v>187</v>
      </c>
    </row>
    <row r="416" spans="1:14" x14ac:dyDescent="0.45">
      <c r="A416">
        <v>415</v>
      </c>
      <c r="B416">
        <v>156</v>
      </c>
      <c r="C416" t="s">
        <v>73</v>
      </c>
      <c r="D416" t="s">
        <v>406</v>
      </c>
      <c r="E416">
        <v>1100</v>
      </c>
      <c r="F416" t="s">
        <v>80</v>
      </c>
      <c r="G416" t="s">
        <v>78</v>
      </c>
      <c r="H416" t="s">
        <v>218</v>
      </c>
      <c r="I416">
        <v>58246.34</v>
      </c>
      <c r="J416">
        <v>0</v>
      </c>
      <c r="K416" t="s">
        <v>425</v>
      </c>
      <c r="L416" t="s">
        <v>220</v>
      </c>
      <c r="N416" t="s">
        <v>187</v>
      </c>
    </row>
    <row r="417" spans="1:14" x14ac:dyDescent="0.45">
      <c r="A417">
        <v>416</v>
      </c>
      <c r="B417">
        <v>156</v>
      </c>
      <c r="C417" t="s">
        <v>73</v>
      </c>
      <c r="D417" t="s">
        <v>406</v>
      </c>
      <c r="E417">
        <v>4010</v>
      </c>
      <c r="F417" t="s">
        <v>101</v>
      </c>
      <c r="G417" t="s">
        <v>99</v>
      </c>
      <c r="H417" t="s">
        <v>218</v>
      </c>
      <c r="I417">
        <v>0</v>
      </c>
      <c r="J417">
        <v>24463.46</v>
      </c>
      <c r="K417" t="s">
        <v>425</v>
      </c>
      <c r="L417" t="s">
        <v>220</v>
      </c>
      <c r="N417" t="s">
        <v>187</v>
      </c>
    </row>
    <row r="418" spans="1:14" x14ac:dyDescent="0.45">
      <c r="A418">
        <v>417</v>
      </c>
      <c r="B418">
        <v>156</v>
      </c>
      <c r="C418" t="s">
        <v>73</v>
      </c>
      <c r="D418" t="s">
        <v>406</v>
      </c>
      <c r="E418">
        <v>4020</v>
      </c>
      <c r="F418" t="s">
        <v>103</v>
      </c>
      <c r="G418" t="s">
        <v>99</v>
      </c>
      <c r="H418" t="s">
        <v>218</v>
      </c>
      <c r="I418">
        <v>0</v>
      </c>
      <c r="J418">
        <v>19221.29</v>
      </c>
      <c r="K418" t="s">
        <v>425</v>
      </c>
      <c r="L418" t="s">
        <v>220</v>
      </c>
      <c r="N418" t="s">
        <v>187</v>
      </c>
    </row>
    <row r="419" spans="1:14" x14ac:dyDescent="0.45">
      <c r="A419">
        <v>418</v>
      </c>
      <c r="B419">
        <v>156</v>
      </c>
      <c r="C419" t="s">
        <v>73</v>
      </c>
      <c r="D419" t="s">
        <v>406</v>
      </c>
      <c r="E419">
        <v>4030</v>
      </c>
      <c r="F419" t="s">
        <v>105</v>
      </c>
      <c r="G419" t="s">
        <v>99</v>
      </c>
      <c r="H419" t="s">
        <v>218</v>
      </c>
      <c r="I419">
        <v>0</v>
      </c>
      <c r="J419">
        <v>14561.59</v>
      </c>
      <c r="K419" t="s">
        <v>425</v>
      </c>
      <c r="L419" t="s">
        <v>220</v>
      </c>
      <c r="N419" t="s">
        <v>187</v>
      </c>
    </row>
    <row r="420" spans="1:14" x14ac:dyDescent="0.45">
      <c r="A420">
        <v>419</v>
      </c>
      <c r="B420">
        <v>157</v>
      </c>
      <c r="C420" t="s">
        <v>73</v>
      </c>
      <c r="D420" t="s">
        <v>408</v>
      </c>
      <c r="E420">
        <v>1000</v>
      </c>
      <c r="F420" t="s">
        <v>77</v>
      </c>
      <c r="G420" t="s">
        <v>78</v>
      </c>
      <c r="H420" t="s">
        <v>218</v>
      </c>
      <c r="I420">
        <v>51587.59</v>
      </c>
      <c r="J420">
        <v>0</v>
      </c>
      <c r="K420" t="s">
        <v>426</v>
      </c>
      <c r="L420" t="s">
        <v>223</v>
      </c>
      <c r="N420" t="s">
        <v>187</v>
      </c>
    </row>
    <row r="421" spans="1:14" x14ac:dyDescent="0.45">
      <c r="A421">
        <v>420</v>
      </c>
      <c r="B421">
        <v>157</v>
      </c>
      <c r="C421" t="s">
        <v>73</v>
      </c>
      <c r="D421" t="s">
        <v>408</v>
      </c>
      <c r="E421">
        <v>1100</v>
      </c>
      <c r="F421" t="s">
        <v>80</v>
      </c>
      <c r="G421" t="s">
        <v>78</v>
      </c>
      <c r="H421" t="s">
        <v>218</v>
      </c>
      <c r="I421">
        <v>0</v>
      </c>
      <c r="J421">
        <v>51587.59</v>
      </c>
      <c r="K421" t="s">
        <v>426</v>
      </c>
      <c r="L421" t="s">
        <v>223</v>
      </c>
      <c r="N421" t="s">
        <v>187</v>
      </c>
    </row>
    <row r="422" spans="1:14" x14ac:dyDescent="0.45">
      <c r="A422">
        <v>421</v>
      </c>
      <c r="B422">
        <v>158</v>
      </c>
      <c r="C422" t="s">
        <v>73</v>
      </c>
      <c r="D422" t="s">
        <v>410</v>
      </c>
      <c r="E422">
        <v>5010</v>
      </c>
      <c r="F422" t="s">
        <v>112</v>
      </c>
      <c r="G422" t="s">
        <v>110</v>
      </c>
      <c r="H422" t="s">
        <v>218</v>
      </c>
      <c r="I422">
        <v>3308.01</v>
      </c>
      <c r="J422">
        <v>0</v>
      </c>
      <c r="K422" t="s">
        <v>427</v>
      </c>
      <c r="L422" t="s">
        <v>226</v>
      </c>
      <c r="N422" t="s">
        <v>187</v>
      </c>
    </row>
    <row r="423" spans="1:14" x14ac:dyDescent="0.45">
      <c r="A423">
        <v>422</v>
      </c>
      <c r="B423">
        <v>158</v>
      </c>
      <c r="C423" t="s">
        <v>73</v>
      </c>
      <c r="D423" t="s">
        <v>410</v>
      </c>
      <c r="E423">
        <v>5020</v>
      </c>
      <c r="F423" t="s">
        <v>114</v>
      </c>
      <c r="G423" t="s">
        <v>110</v>
      </c>
      <c r="H423" t="s">
        <v>218</v>
      </c>
      <c r="I423">
        <v>2706.56</v>
      </c>
      <c r="J423">
        <v>0</v>
      </c>
      <c r="K423" t="s">
        <v>427</v>
      </c>
      <c r="L423" t="s">
        <v>226</v>
      </c>
      <c r="N423" t="s">
        <v>187</v>
      </c>
    </row>
    <row r="424" spans="1:14" x14ac:dyDescent="0.45">
      <c r="A424">
        <v>423</v>
      </c>
      <c r="B424">
        <v>158</v>
      </c>
      <c r="C424" t="s">
        <v>73</v>
      </c>
      <c r="D424" t="s">
        <v>410</v>
      </c>
      <c r="E424">
        <v>1000</v>
      </c>
      <c r="F424" t="s">
        <v>77</v>
      </c>
      <c r="G424" t="s">
        <v>78</v>
      </c>
      <c r="H424" t="s">
        <v>218</v>
      </c>
      <c r="I424">
        <v>0</v>
      </c>
      <c r="J424">
        <v>4210.2</v>
      </c>
      <c r="K424" t="s">
        <v>427</v>
      </c>
      <c r="L424" t="s">
        <v>226</v>
      </c>
      <c r="N424" t="s">
        <v>187</v>
      </c>
    </row>
    <row r="425" spans="1:14" x14ac:dyDescent="0.45">
      <c r="A425">
        <v>424</v>
      </c>
      <c r="B425">
        <v>158</v>
      </c>
      <c r="C425" t="s">
        <v>73</v>
      </c>
      <c r="D425" t="s">
        <v>410</v>
      </c>
      <c r="E425">
        <v>2000</v>
      </c>
      <c r="F425" t="s">
        <v>88</v>
      </c>
      <c r="G425" t="s">
        <v>89</v>
      </c>
      <c r="H425" t="s">
        <v>218</v>
      </c>
      <c r="I425">
        <v>0</v>
      </c>
      <c r="J425">
        <v>1804.37</v>
      </c>
      <c r="K425" t="s">
        <v>427</v>
      </c>
      <c r="L425" t="s">
        <v>226</v>
      </c>
      <c r="N425" t="s">
        <v>187</v>
      </c>
    </row>
    <row r="426" spans="1:14" x14ac:dyDescent="0.45">
      <c r="A426">
        <v>425</v>
      </c>
      <c r="B426">
        <v>159</v>
      </c>
      <c r="C426" t="s">
        <v>73</v>
      </c>
      <c r="D426" t="s">
        <v>412</v>
      </c>
      <c r="E426">
        <v>6010</v>
      </c>
      <c r="F426" t="s">
        <v>119</v>
      </c>
      <c r="G426" t="s">
        <v>117</v>
      </c>
      <c r="H426" t="s">
        <v>218</v>
      </c>
      <c r="I426">
        <v>26640.16</v>
      </c>
      <c r="J426">
        <v>0</v>
      </c>
      <c r="K426" t="s">
        <v>428</v>
      </c>
      <c r="L426" t="s">
        <v>229</v>
      </c>
      <c r="N426" t="s">
        <v>187</v>
      </c>
    </row>
    <row r="427" spans="1:14" x14ac:dyDescent="0.45">
      <c r="A427">
        <v>426</v>
      </c>
      <c r="B427">
        <v>159</v>
      </c>
      <c r="C427" t="s">
        <v>73</v>
      </c>
      <c r="D427" t="s">
        <v>412</v>
      </c>
      <c r="E427">
        <v>6020</v>
      </c>
      <c r="F427" t="s">
        <v>121</v>
      </c>
      <c r="G427" t="s">
        <v>117</v>
      </c>
      <c r="H427" t="s">
        <v>218</v>
      </c>
      <c r="I427">
        <v>3729.62</v>
      </c>
      <c r="J427">
        <v>0</v>
      </c>
      <c r="K427" t="s">
        <v>428</v>
      </c>
      <c r="L427" t="s">
        <v>229</v>
      </c>
      <c r="N427" t="s">
        <v>187</v>
      </c>
    </row>
    <row r="428" spans="1:14" x14ac:dyDescent="0.45">
      <c r="A428">
        <v>427</v>
      </c>
      <c r="B428">
        <v>159</v>
      </c>
      <c r="C428" t="s">
        <v>73</v>
      </c>
      <c r="D428" t="s">
        <v>412</v>
      </c>
      <c r="E428">
        <v>1000</v>
      </c>
      <c r="F428" t="s">
        <v>77</v>
      </c>
      <c r="G428" t="s">
        <v>78</v>
      </c>
      <c r="H428" t="s">
        <v>218</v>
      </c>
      <c r="I428">
        <v>0</v>
      </c>
      <c r="J428">
        <v>30335</v>
      </c>
      <c r="K428" t="s">
        <v>428</v>
      </c>
      <c r="L428" t="s">
        <v>229</v>
      </c>
      <c r="N428" t="s">
        <v>187</v>
      </c>
    </row>
    <row r="429" spans="1:14" x14ac:dyDescent="0.45">
      <c r="A429">
        <v>428</v>
      </c>
      <c r="B429">
        <v>159</v>
      </c>
      <c r="C429" t="s">
        <v>73</v>
      </c>
      <c r="D429" t="s">
        <v>412</v>
      </c>
      <c r="E429">
        <v>2100</v>
      </c>
      <c r="F429" t="s">
        <v>91</v>
      </c>
      <c r="G429" t="s">
        <v>89</v>
      </c>
      <c r="H429" t="s">
        <v>218</v>
      </c>
      <c r="I429">
        <v>0</v>
      </c>
      <c r="J429">
        <v>3036.98</v>
      </c>
      <c r="K429" t="s">
        <v>428</v>
      </c>
      <c r="L429" t="s">
        <v>229</v>
      </c>
      <c r="N429" t="s">
        <v>187</v>
      </c>
    </row>
    <row r="430" spans="1:14" x14ac:dyDescent="0.45">
      <c r="A430">
        <v>429</v>
      </c>
      <c r="B430">
        <v>159</v>
      </c>
      <c r="C430" t="s">
        <v>73</v>
      </c>
      <c r="D430" t="s">
        <v>412</v>
      </c>
      <c r="E430">
        <v>2100</v>
      </c>
      <c r="F430" t="s">
        <v>91</v>
      </c>
      <c r="G430" t="s">
        <v>89</v>
      </c>
      <c r="H430" t="s">
        <v>218</v>
      </c>
      <c r="I430">
        <v>3002.2</v>
      </c>
      <c r="J430">
        <v>0</v>
      </c>
      <c r="K430" t="s">
        <v>428</v>
      </c>
      <c r="L430" t="s">
        <v>229</v>
      </c>
      <c r="N430" t="s">
        <v>187</v>
      </c>
    </row>
    <row r="431" spans="1:14" x14ac:dyDescent="0.45">
      <c r="A431">
        <v>430</v>
      </c>
      <c r="B431">
        <v>160</v>
      </c>
      <c r="C431" t="s">
        <v>73</v>
      </c>
      <c r="D431" t="s">
        <v>414</v>
      </c>
      <c r="E431">
        <v>6030</v>
      </c>
      <c r="F431" t="s">
        <v>123</v>
      </c>
      <c r="G431" t="s">
        <v>117</v>
      </c>
      <c r="H431" t="s">
        <v>218</v>
      </c>
      <c r="I431">
        <v>4300.32</v>
      </c>
      <c r="J431">
        <v>0</v>
      </c>
      <c r="K431" t="s">
        <v>429</v>
      </c>
      <c r="L431" t="s">
        <v>232</v>
      </c>
      <c r="N431" t="s">
        <v>187</v>
      </c>
    </row>
    <row r="432" spans="1:14" x14ac:dyDescent="0.45">
      <c r="A432">
        <v>431</v>
      </c>
      <c r="B432">
        <v>160</v>
      </c>
      <c r="C432" t="s">
        <v>73</v>
      </c>
      <c r="D432" t="s">
        <v>414</v>
      </c>
      <c r="E432">
        <v>1000</v>
      </c>
      <c r="F432" t="s">
        <v>77</v>
      </c>
      <c r="G432" t="s">
        <v>78</v>
      </c>
      <c r="H432" t="s">
        <v>218</v>
      </c>
      <c r="I432">
        <v>0</v>
      </c>
      <c r="J432">
        <v>4300.32</v>
      </c>
      <c r="K432" t="s">
        <v>429</v>
      </c>
      <c r="L432" t="s">
        <v>232</v>
      </c>
      <c r="N432" t="s">
        <v>187</v>
      </c>
    </row>
    <row r="433" spans="1:14" x14ac:dyDescent="0.45">
      <c r="A433">
        <v>432</v>
      </c>
      <c r="B433">
        <v>161</v>
      </c>
      <c r="C433" t="s">
        <v>73</v>
      </c>
      <c r="D433" t="s">
        <v>416</v>
      </c>
      <c r="E433">
        <v>6040</v>
      </c>
      <c r="F433" t="s">
        <v>125</v>
      </c>
      <c r="G433" t="s">
        <v>117</v>
      </c>
      <c r="H433" t="s">
        <v>218</v>
      </c>
      <c r="I433">
        <v>1933.17</v>
      </c>
      <c r="J433">
        <v>0</v>
      </c>
      <c r="K433" t="s">
        <v>430</v>
      </c>
      <c r="L433" t="s">
        <v>226</v>
      </c>
      <c r="N433" t="s">
        <v>187</v>
      </c>
    </row>
    <row r="434" spans="1:14" x14ac:dyDescent="0.45">
      <c r="A434">
        <v>433</v>
      </c>
      <c r="B434">
        <v>161</v>
      </c>
      <c r="C434" t="s">
        <v>73</v>
      </c>
      <c r="D434" t="s">
        <v>416</v>
      </c>
      <c r="E434">
        <v>1000</v>
      </c>
      <c r="F434" t="s">
        <v>77</v>
      </c>
      <c r="G434" t="s">
        <v>78</v>
      </c>
      <c r="H434" t="s">
        <v>218</v>
      </c>
      <c r="I434">
        <v>0</v>
      </c>
      <c r="J434">
        <v>1546.54</v>
      </c>
      <c r="K434" t="s">
        <v>430</v>
      </c>
      <c r="L434" t="s">
        <v>226</v>
      </c>
      <c r="N434" t="s">
        <v>187</v>
      </c>
    </row>
    <row r="435" spans="1:14" x14ac:dyDescent="0.45">
      <c r="A435">
        <v>434</v>
      </c>
      <c r="B435">
        <v>161</v>
      </c>
      <c r="C435" t="s">
        <v>73</v>
      </c>
      <c r="D435" t="s">
        <v>416</v>
      </c>
      <c r="E435">
        <v>2000</v>
      </c>
      <c r="F435" t="s">
        <v>88</v>
      </c>
      <c r="G435" t="s">
        <v>89</v>
      </c>
      <c r="H435" t="s">
        <v>218</v>
      </c>
      <c r="I435">
        <v>0</v>
      </c>
      <c r="J435">
        <v>386.63</v>
      </c>
      <c r="K435" t="s">
        <v>430</v>
      </c>
      <c r="L435" t="s">
        <v>226</v>
      </c>
      <c r="N435" t="s">
        <v>187</v>
      </c>
    </row>
    <row r="436" spans="1:14" x14ac:dyDescent="0.45">
      <c r="A436">
        <v>435</v>
      </c>
      <c r="B436">
        <v>162</v>
      </c>
      <c r="C436" t="s">
        <v>73</v>
      </c>
      <c r="D436" t="s">
        <v>414</v>
      </c>
      <c r="E436">
        <v>6050</v>
      </c>
      <c r="F436" t="s">
        <v>127</v>
      </c>
      <c r="G436" t="s">
        <v>117</v>
      </c>
      <c r="H436" t="s">
        <v>218</v>
      </c>
      <c r="I436">
        <v>899</v>
      </c>
      <c r="J436">
        <v>0</v>
      </c>
      <c r="K436" t="s">
        <v>431</v>
      </c>
      <c r="L436" t="s">
        <v>236</v>
      </c>
      <c r="N436" t="s">
        <v>187</v>
      </c>
    </row>
    <row r="437" spans="1:14" x14ac:dyDescent="0.45">
      <c r="A437">
        <v>436</v>
      </c>
      <c r="B437">
        <v>162</v>
      </c>
      <c r="C437" t="s">
        <v>73</v>
      </c>
      <c r="D437" t="s">
        <v>414</v>
      </c>
      <c r="E437">
        <v>1200</v>
      </c>
      <c r="F437" t="s">
        <v>82</v>
      </c>
      <c r="G437" t="s">
        <v>78</v>
      </c>
      <c r="H437" t="s">
        <v>218</v>
      </c>
      <c r="I437">
        <v>0</v>
      </c>
      <c r="J437">
        <v>899</v>
      </c>
      <c r="K437" t="s">
        <v>431</v>
      </c>
      <c r="L437" t="s">
        <v>236</v>
      </c>
      <c r="N437" t="s">
        <v>187</v>
      </c>
    </row>
    <row r="438" spans="1:14" x14ac:dyDescent="0.45">
      <c r="A438">
        <v>437</v>
      </c>
      <c r="B438">
        <v>163</v>
      </c>
      <c r="C438" t="s">
        <v>73</v>
      </c>
      <c r="D438" t="s">
        <v>419</v>
      </c>
      <c r="E438">
        <v>6060</v>
      </c>
      <c r="F438" t="s">
        <v>129</v>
      </c>
      <c r="G438" t="s">
        <v>117</v>
      </c>
      <c r="H438" t="s">
        <v>218</v>
      </c>
      <c r="I438">
        <v>1354.08</v>
      </c>
      <c r="J438">
        <v>0</v>
      </c>
      <c r="K438" t="s">
        <v>432</v>
      </c>
      <c r="L438" t="s">
        <v>232</v>
      </c>
      <c r="N438" t="s">
        <v>187</v>
      </c>
    </row>
    <row r="439" spans="1:14" x14ac:dyDescent="0.45">
      <c r="A439">
        <v>438</v>
      </c>
      <c r="B439">
        <v>163</v>
      </c>
      <c r="C439" t="s">
        <v>73</v>
      </c>
      <c r="D439" t="s">
        <v>419</v>
      </c>
      <c r="E439">
        <v>1000</v>
      </c>
      <c r="F439" t="s">
        <v>77</v>
      </c>
      <c r="G439" t="s">
        <v>78</v>
      </c>
      <c r="H439" t="s">
        <v>218</v>
      </c>
      <c r="I439">
        <v>0</v>
      </c>
      <c r="J439">
        <v>1354.08</v>
      </c>
      <c r="K439" t="s">
        <v>432</v>
      </c>
      <c r="L439" t="s">
        <v>232</v>
      </c>
      <c r="N439" t="s">
        <v>187</v>
      </c>
    </row>
    <row r="440" spans="1:14" x14ac:dyDescent="0.45">
      <c r="A440">
        <v>439</v>
      </c>
      <c r="B440">
        <v>164</v>
      </c>
      <c r="C440" t="s">
        <v>73</v>
      </c>
      <c r="D440" t="s">
        <v>421</v>
      </c>
      <c r="E440">
        <v>7000</v>
      </c>
      <c r="F440" t="s">
        <v>133</v>
      </c>
      <c r="G440" t="s">
        <v>117</v>
      </c>
      <c r="H440" t="s">
        <v>218</v>
      </c>
      <c r="I440">
        <v>682</v>
      </c>
      <c r="J440">
        <v>0</v>
      </c>
      <c r="K440" t="s">
        <v>433</v>
      </c>
      <c r="L440" t="s">
        <v>241</v>
      </c>
      <c r="N440" t="s">
        <v>187</v>
      </c>
    </row>
    <row r="441" spans="1:14" x14ac:dyDescent="0.45">
      <c r="A441">
        <v>440</v>
      </c>
      <c r="B441">
        <v>164</v>
      </c>
      <c r="C441" t="s">
        <v>73</v>
      </c>
      <c r="D441" t="s">
        <v>421</v>
      </c>
      <c r="E441">
        <v>1500</v>
      </c>
      <c r="F441" t="s">
        <v>86</v>
      </c>
      <c r="G441" t="s">
        <v>78</v>
      </c>
      <c r="H441" t="s">
        <v>218</v>
      </c>
      <c r="I441">
        <v>0</v>
      </c>
      <c r="J441">
        <v>682</v>
      </c>
      <c r="K441" t="s">
        <v>433</v>
      </c>
      <c r="L441" t="s">
        <v>241</v>
      </c>
      <c r="N441" t="s">
        <v>187</v>
      </c>
    </row>
    <row r="442" spans="1:14" x14ac:dyDescent="0.45">
      <c r="A442">
        <v>441</v>
      </c>
      <c r="B442">
        <v>165</v>
      </c>
      <c r="C442" t="s">
        <v>73</v>
      </c>
      <c r="D442" t="s">
        <v>423</v>
      </c>
      <c r="E442">
        <v>2000</v>
      </c>
      <c r="F442" t="s">
        <v>88</v>
      </c>
      <c r="G442" t="s">
        <v>89</v>
      </c>
      <c r="H442" t="s">
        <v>218</v>
      </c>
      <c r="I442">
        <v>2378.3200000000002</v>
      </c>
      <c r="J442">
        <v>0</v>
      </c>
      <c r="K442" t="s">
        <v>434</v>
      </c>
      <c r="L442" t="s">
        <v>232</v>
      </c>
      <c r="N442" t="s">
        <v>187</v>
      </c>
    </row>
    <row r="443" spans="1:14" x14ac:dyDescent="0.45">
      <c r="A443">
        <v>442</v>
      </c>
      <c r="B443">
        <v>165</v>
      </c>
      <c r="C443" t="s">
        <v>73</v>
      </c>
      <c r="D443" t="s">
        <v>423</v>
      </c>
      <c r="E443">
        <v>1000</v>
      </c>
      <c r="F443" t="s">
        <v>77</v>
      </c>
      <c r="G443" t="s">
        <v>78</v>
      </c>
      <c r="H443" t="s">
        <v>218</v>
      </c>
      <c r="I443">
        <v>0</v>
      </c>
      <c r="J443">
        <v>2378.3200000000002</v>
      </c>
      <c r="K443" t="s">
        <v>434</v>
      </c>
      <c r="L443" t="s">
        <v>232</v>
      </c>
      <c r="N443" t="s">
        <v>187</v>
      </c>
    </row>
    <row r="444" spans="1:14" x14ac:dyDescent="0.45">
      <c r="A444">
        <v>443</v>
      </c>
      <c r="B444">
        <v>166</v>
      </c>
      <c r="C444" t="s">
        <v>74</v>
      </c>
      <c r="D444" t="s">
        <v>406</v>
      </c>
      <c r="E444">
        <v>1100</v>
      </c>
      <c r="F444" t="s">
        <v>80</v>
      </c>
      <c r="G444" t="s">
        <v>78</v>
      </c>
      <c r="H444" t="s">
        <v>218</v>
      </c>
      <c r="I444">
        <v>50225.279999999999</v>
      </c>
      <c r="J444">
        <v>0</v>
      </c>
      <c r="K444" t="s">
        <v>435</v>
      </c>
      <c r="L444" t="s">
        <v>220</v>
      </c>
      <c r="N444" t="s">
        <v>187</v>
      </c>
    </row>
    <row r="445" spans="1:14" x14ac:dyDescent="0.45">
      <c r="A445">
        <v>444</v>
      </c>
      <c r="B445">
        <v>166</v>
      </c>
      <c r="C445" t="s">
        <v>74</v>
      </c>
      <c r="D445" t="s">
        <v>406</v>
      </c>
      <c r="E445">
        <v>4010</v>
      </c>
      <c r="F445" t="s">
        <v>101</v>
      </c>
      <c r="G445" t="s">
        <v>99</v>
      </c>
      <c r="H445" t="s">
        <v>218</v>
      </c>
      <c r="I445">
        <v>0</v>
      </c>
      <c r="J445">
        <v>21094.62</v>
      </c>
      <c r="K445" t="s">
        <v>435</v>
      </c>
      <c r="L445" t="s">
        <v>220</v>
      </c>
      <c r="N445" t="s">
        <v>187</v>
      </c>
    </row>
    <row r="446" spans="1:14" x14ac:dyDescent="0.45">
      <c r="A446">
        <v>445</v>
      </c>
      <c r="B446">
        <v>166</v>
      </c>
      <c r="C446" t="s">
        <v>74</v>
      </c>
      <c r="D446" t="s">
        <v>406</v>
      </c>
      <c r="E446">
        <v>4020</v>
      </c>
      <c r="F446" t="s">
        <v>103</v>
      </c>
      <c r="G446" t="s">
        <v>99</v>
      </c>
      <c r="H446" t="s">
        <v>218</v>
      </c>
      <c r="I446">
        <v>0</v>
      </c>
      <c r="J446">
        <v>16574.34</v>
      </c>
      <c r="K446" t="s">
        <v>435</v>
      </c>
      <c r="L446" t="s">
        <v>220</v>
      </c>
      <c r="N446" t="s">
        <v>187</v>
      </c>
    </row>
    <row r="447" spans="1:14" x14ac:dyDescent="0.45">
      <c r="A447">
        <v>446</v>
      </c>
      <c r="B447">
        <v>166</v>
      </c>
      <c r="C447" t="s">
        <v>74</v>
      </c>
      <c r="D447" t="s">
        <v>406</v>
      </c>
      <c r="E447">
        <v>4030</v>
      </c>
      <c r="F447" t="s">
        <v>105</v>
      </c>
      <c r="G447" t="s">
        <v>99</v>
      </c>
      <c r="H447" t="s">
        <v>218</v>
      </c>
      <c r="I447">
        <v>0</v>
      </c>
      <c r="J447">
        <v>12556.32</v>
      </c>
      <c r="K447" t="s">
        <v>435</v>
      </c>
      <c r="L447" t="s">
        <v>220</v>
      </c>
      <c r="N447" t="s">
        <v>187</v>
      </c>
    </row>
    <row r="448" spans="1:14" x14ac:dyDescent="0.45">
      <c r="A448">
        <v>447</v>
      </c>
      <c r="B448">
        <v>167</v>
      </c>
      <c r="C448" t="s">
        <v>74</v>
      </c>
      <c r="D448" t="s">
        <v>408</v>
      </c>
      <c r="E448">
        <v>1000</v>
      </c>
      <c r="F448" t="s">
        <v>77</v>
      </c>
      <c r="G448" t="s">
        <v>78</v>
      </c>
      <c r="H448" t="s">
        <v>218</v>
      </c>
      <c r="I448">
        <v>46097.45</v>
      </c>
      <c r="J448">
        <v>0</v>
      </c>
      <c r="K448" t="s">
        <v>436</v>
      </c>
      <c r="L448" t="s">
        <v>223</v>
      </c>
      <c r="N448" t="s">
        <v>187</v>
      </c>
    </row>
    <row r="449" spans="1:14" x14ac:dyDescent="0.45">
      <c r="A449">
        <v>448</v>
      </c>
      <c r="B449">
        <v>167</v>
      </c>
      <c r="C449" t="s">
        <v>74</v>
      </c>
      <c r="D449" t="s">
        <v>408</v>
      </c>
      <c r="E449">
        <v>1100</v>
      </c>
      <c r="F449" t="s">
        <v>80</v>
      </c>
      <c r="G449" t="s">
        <v>78</v>
      </c>
      <c r="H449" t="s">
        <v>218</v>
      </c>
      <c r="I449">
        <v>0</v>
      </c>
      <c r="J449">
        <v>46097.45</v>
      </c>
      <c r="K449" t="s">
        <v>436</v>
      </c>
      <c r="L449" t="s">
        <v>223</v>
      </c>
      <c r="N449" t="s">
        <v>187</v>
      </c>
    </row>
    <row r="450" spans="1:14" x14ac:dyDescent="0.45">
      <c r="A450">
        <v>449</v>
      </c>
      <c r="B450">
        <v>168</v>
      </c>
      <c r="C450" t="s">
        <v>74</v>
      </c>
      <c r="D450" t="s">
        <v>410</v>
      </c>
      <c r="E450">
        <v>5010</v>
      </c>
      <c r="F450" t="s">
        <v>112</v>
      </c>
      <c r="G450" t="s">
        <v>110</v>
      </c>
      <c r="H450" t="s">
        <v>218</v>
      </c>
      <c r="I450">
        <v>2852.47</v>
      </c>
      <c r="J450">
        <v>0</v>
      </c>
      <c r="K450" t="s">
        <v>437</v>
      </c>
      <c r="L450" t="s">
        <v>226</v>
      </c>
      <c r="N450" t="s">
        <v>187</v>
      </c>
    </row>
    <row r="451" spans="1:14" x14ac:dyDescent="0.45">
      <c r="A451">
        <v>450</v>
      </c>
      <c r="B451">
        <v>168</v>
      </c>
      <c r="C451" t="s">
        <v>74</v>
      </c>
      <c r="D451" t="s">
        <v>410</v>
      </c>
      <c r="E451">
        <v>5020</v>
      </c>
      <c r="F451" t="s">
        <v>114</v>
      </c>
      <c r="G451" t="s">
        <v>110</v>
      </c>
      <c r="H451" t="s">
        <v>218</v>
      </c>
      <c r="I451">
        <v>2333.84</v>
      </c>
      <c r="J451">
        <v>0</v>
      </c>
      <c r="K451" t="s">
        <v>437</v>
      </c>
      <c r="L451" t="s">
        <v>226</v>
      </c>
      <c r="N451" t="s">
        <v>187</v>
      </c>
    </row>
    <row r="452" spans="1:14" x14ac:dyDescent="0.45">
      <c r="A452">
        <v>451</v>
      </c>
      <c r="B452">
        <v>168</v>
      </c>
      <c r="C452" t="s">
        <v>74</v>
      </c>
      <c r="D452" t="s">
        <v>410</v>
      </c>
      <c r="E452">
        <v>1000</v>
      </c>
      <c r="F452" t="s">
        <v>77</v>
      </c>
      <c r="G452" t="s">
        <v>78</v>
      </c>
      <c r="H452" t="s">
        <v>218</v>
      </c>
      <c r="I452">
        <v>0</v>
      </c>
      <c r="J452">
        <v>3630.42</v>
      </c>
      <c r="K452" t="s">
        <v>437</v>
      </c>
      <c r="L452" t="s">
        <v>226</v>
      </c>
      <c r="N452" t="s">
        <v>187</v>
      </c>
    </row>
    <row r="453" spans="1:14" x14ac:dyDescent="0.45">
      <c r="A453">
        <v>452</v>
      </c>
      <c r="B453">
        <v>168</v>
      </c>
      <c r="C453" t="s">
        <v>74</v>
      </c>
      <c r="D453" t="s">
        <v>410</v>
      </c>
      <c r="E453">
        <v>2000</v>
      </c>
      <c r="F453" t="s">
        <v>88</v>
      </c>
      <c r="G453" t="s">
        <v>89</v>
      </c>
      <c r="H453" t="s">
        <v>218</v>
      </c>
      <c r="I453">
        <v>0</v>
      </c>
      <c r="J453">
        <v>1555.89</v>
      </c>
      <c r="K453" t="s">
        <v>437</v>
      </c>
      <c r="L453" t="s">
        <v>226</v>
      </c>
      <c r="N453" t="s">
        <v>187</v>
      </c>
    </row>
    <row r="454" spans="1:14" x14ac:dyDescent="0.45">
      <c r="A454">
        <v>453</v>
      </c>
      <c r="B454">
        <v>169</v>
      </c>
      <c r="C454" t="s">
        <v>74</v>
      </c>
      <c r="D454" t="s">
        <v>412</v>
      </c>
      <c r="E454">
        <v>6010</v>
      </c>
      <c r="F454" t="s">
        <v>119</v>
      </c>
      <c r="G454" t="s">
        <v>117</v>
      </c>
      <c r="H454" t="s">
        <v>218</v>
      </c>
      <c r="I454">
        <v>23632.400000000001</v>
      </c>
      <c r="J454">
        <v>0</v>
      </c>
      <c r="K454" t="s">
        <v>438</v>
      </c>
      <c r="L454" t="s">
        <v>229</v>
      </c>
      <c r="N454" t="s">
        <v>187</v>
      </c>
    </row>
    <row r="455" spans="1:14" x14ac:dyDescent="0.45">
      <c r="A455">
        <v>454</v>
      </c>
      <c r="B455">
        <v>169</v>
      </c>
      <c r="C455" t="s">
        <v>74</v>
      </c>
      <c r="D455" t="s">
        <v>412</v>
      </c>
      <c r="E455">
        <v>6020</v>
      </c>
      <c r="F455" t="s">
        <v>121</v>
      </c>
      <c r="G455" t="s">
        <v>117</v>
      </c>
      <c r="H455" t="s">
        <v>218</v>
      </c>
      <c r="I455">
        <v>3308.54</v>
      </c>
      <c r="J455">
        <v>0</v>
      </c>
      <c r="K455" t="s">
        <v>438</v>
      </c>
      <c r="L455" t="s">
        <v>229</v>
      </c>
      <c r="N455" t="s">
        <v>187</v>
      </c>
    </row>
    <row r="456" spans="1:14" x14ac:dyDescent="0.45">
      <c r="A456">
        <v>455</v>
      </c>
      <c r="B456">
        <v>169</v>
      </c>
      <c r="C456" t="s">
        <v>74</v>
      </c>
      <c r="D456" t="s">
        <v>412</v>
      </c>
      <c r="E456">
        <v>1000</v>
      </c>
      <c r="F456" t="s">
        <v>77</v>
      </c>
      <c r="G456" t="s">
        <v>78</v>
      </c>
      <c r="H456" t="s">
        <v>218</v>
      </c>
      <c r="I456">
        <v>0</v>
      </c>
      <c r="J456">
        <v>26910.09</v>
      </c>
      <c r="K456" t="s">
        <v>438</v>
      </c>
      <c r="L456" t="s">
        <v>229</v>
      </c>
      <c r="N456" t="s">
        <v>187</v>
      </c>
    </row>
    <row r="457" spans="1:14" x14ac:dyDescent="0.45">
      <c r="A457">
        <v>456</v>
      </c>
      <c r="B457">
        <v>169</v>
      </c>
      <c r="C457" t="s">
        <v>74</v>
      </c>
      <c r="D457" t="s">
        <v>412</v>
      </c>
      <c r="E457">
        <v>2100</v>
      </c>
      <c r="F457" t="s">
        <v>91</v>
      </c>
      <c r="G457" t="s">
        <v>89</v>
      </c>
      <c r="H457" t="s">
        <v>218</v>
      </c>
      <c r="I457">
        <v>0</v>
      </c>
      <c r="J457">
        <v>2694.09</v>
      </c>
      <c r="K457" t="s">
        <v>438</v>
      </c>
      <c r="L457" t="s">
        <v>229</v>
      </c>
      <c r="N457" t="s">
        <v>187</v>
      </c>
    </row>
    <row r="458" spans="1:14" x14ac:dyDescent="0.45">
      <c r="A458">
        <v>457</v>
      </c>
      <c r="B458">
        <v>169</v>
      </c>
      <c r="C458" t="s">
        <v>74</v>
      </c>
      <c r="D458" t="s">
        <v>412</v>
      </c>
      <c r="E458">
        <v>2100</v>
      </c>
      <c r="F458" t="s">
        <v>91</v>
      </c>
      <c r="G458" t="s">
        <v>89</v>
      </c>
      <c r="H458" t="s">
        <v>218</v>
      </c>
      <c r="I458">
        <v>2663.24</v>
      </c>
      <c r="J458">
        <v>0</v>
      </c>
      <c r="K458" t="s">
        <v>438</v>
      </c>
      <c r="L458" t="s">
        <v>229</v>
      </c>
      <c r="N458" t="s">
        <v>187</v>
      </c>
    </row>
    <row r="459" spans="1:14" x14ac:dyDescent="0.45">
      <c r="A459">
        <v>458</v>
      </c>
      <c r="B459">
        <v>170</v>
      </c>
      <c r="C459" t="s">
        <v>74</v>
      </c>
      <c r="D459" t="s">
        <v>414</v>
      </c>
      <c r="E459">
        <v>6030</v>
      </c>
      <c r="F459" t="s">
        <v>123</v>
      </c>
      <c r="G459" t="s">
        <v>117</v>
      </c>
      <c r="H459" t="s">
        <v>218</v>
      </c>
      <c r="I459">
        <v>3814.8</v>
      </c>
      <c r="J459">
        <v>0</v>
      </c>
      <c r="K459" t="s">
        <v>439</v>
      </c>
      <c r="L459" t="s">
        <v>232</v>
      </c>
      <c r="N459" t="s">
        <v>187</v>
      </c>
    </row>
    <row r="460" spans="1:14" x14ac:dyDescent="0.45">
      <c r="A460">
        <v>459</v>
      </c>
      <c r="B460">
        <v>170</v>
      </c>
      <c r="C460" t="s">
        <v>74</v>
      </c>
      <c r="D460" t="s">
        <v>414</v>
      </c>
      <c r="E460">
        <v>1000</v>
      </c>
      <c r="F460" t="s">
        <v>77</v>
      </c>
      <c r="G460" t="s">
        <v>78</v>
      </c>
      <c r="H460" t="s">
        <v>218</v>
      </c>
      <c r="I460">
        <v>0</v>
      </c>
      <c r="J460">
        <v>3814.8</v>
      </c>
      <c r="K460" t="s">
        <v>439</v>
      </c>
      <c r="L460" t="s">
        <v>232</v>
      </c>
      <c r="N460" t="s">
        <v>187</v>
      </c>
    </row>
    <row r="461" spans="1:14" x14ac:dyDescent="0.45">
      <c r="A461">
        <v>460</v>
      </c>
      <c r="B461">
        <v>171</v>
      </c>
      <c r="C461" t="s">
        <v>74</v>
      </c>
      <c r="D461" t="s">
        <v>416</v>
      </c>
      <c r="E461">
        <v>6040</v>
      </c>
      <c r="F461" t="s">
        <v>125</v>
      </c>
      <c r="G461" t="s">
        <v>117</v>
      </c>
      <c r="H461" t="s">
        <v>218</v>
      </c>
      <c r="I461">
        <v>1666.95</v>
      </c>
      <c r="J461">
        <v>0</v>
      </c>
      <c r="K461" t="s">
        <v>440</v>
      </c>
      <c r="L461" t="s">
        <v>226</v>
      </c>
      <c r="N461" t="s">
        <v>187</v>
      </c>
    </row>
    <row r="462" spans="1:14" x14ac:dyDescent="0.45">
      <c r="A462">
        <v>461</v>
      </c>
      <c r="B462">
        <v>171</v>
      </c>
      <c r="C462" t="s">
        <v>74</v>
      </c>
      <c r="D462" t="s">
        <v>416</v>
      </c>
      <c r="E462">
        <v>1000</v>
      </c>
      <c r="F462" t="s">
        <v>77</v>
      </c>
      <c r="G462" t="s">
        <v>78</v>
      </c>
      <c r="H462" t="s">
        <v>218</v>
      </c>
      <c r="I462">
        <v>0</v>
      </c>
      <c r="J462">
        <v>1333.56</v>
      </c>
      <c r="K462" t="s">
        <v>440</v>
      </c>
      <c r="L462" t="s">
        <v>226</v>
      </c>
      <c r="N462" t="s">
        <v>187</v>
      </c>
    </row>
    <row r="463" spans="1:14" x14ac:dyDescent="0.45">
      <c r="A463">
        <v>462</v>
      </c>
      <c r="B463">
        <v>171</v>
      </c>
      <c r="C463" t="s">
        <v>74</v>
      </c>
      <c r="D463" t="s">
        <v>416</v>
      </c>
      <c r="E463">
        <v>2000</v>
      </c>
      <c r="F463" t="s">
        <v>88</v>
      </c>
      <c r="G463" t="s">
        <v>89</v>
      </c>
      <c r="H463" t="s">
        <v>218</v>
      </c>
      <c r="I463">
        <v>0</v>
      </c>
      <c r="J463">
        <v>333.39</v>
      </c>
      <c r="K463" t="s">
        <v>440</v>
      </c>
      <c r="L463" t="s">
        <v>226</v>
      </c>
      <c r="N463" t="s">
        <v>187</v>
      </c>
    </row>
    <row r="464" spans="1:14" x14ac:dyDescent="0.45">
      <c r="A464">
        <v>463</v>
      </c>
      <c r="B464">
        <v>172</v>
      </c>
      <c r="C464" t="s">
        <v>74</v>
      </c>
      <c r="D464" t="s">
        <v>414</v>
      </c>
      <c r="E464">
        <v>6050</v>
      </c>
      <c r="F464" t="s">
        <v>127</v>
      </c>
      <c r="G464" t="s">
        <v>117</v>
      </c>
      <c r="H464" t="s">
        <v>218</v>
      </c>
      <c r="I464">
        <v>797.5</v>
      </c>
      <c r="J464">
        <v>0</v>
      </c>
      <c r="K464" t="s">
        <v>441</v>
      </c>
      <c r="L464" t="s">
        <v>236</v>
      </c>
      <c r="N464" t="s">
        <v>187</v>
      </c>
    </row>
    <row r="465" spans="1:14" x14ac:dyDescent="0.45">
      <c r="A465">
        <v>464</v>
      </c>
      <c r="B465">
        <v>172</v>
      </c>
      <c r="C465" t="s">
        <v>74</v>
      </c>
      <c r="D465" t="s">
        <v>414</v>
      </c>
      <c r="E465">
        <v>1200</v>
      </c>
      <c r="F465" t="s">
        <v>82</v>
      </c>
      <c r="G465" t="s">
        <v>78</v>
      </c>
      <c r="H465" t="s">
        <v>218</v>
      </c>
      <c r="I465">
        <v>0</v>
      </c>
      <c r="J465">
        <v>797.5</v>
      </c>
      <c r="K465" t="s">
        <v>441</v>
      </c>
      <c r="L465" t="s">
        <v>236</v>
      </c>
      <c r="N465" t="s">
        <v>187</v>
      </c>
    </row>
    <row r="466" spans="1:14" x14ac:dyDescent="0.45">
      <c r="A466">
        <v>465</v>
      </c>
      <c r="B466">
        <v>173</v>
      </c>
      <c r="C466" t="s">
        <v>74</v>
      </c>
      <c r="D466" t="s">
        <v>419</v>
      </c>
      <c r="E466">
        <v>6060</v>
      </c>
      <c r="F466" t="s">
        <v>129</v>
      </c>
      <c r="G466" t="s">
        <v>117</v>
      </c>
      <c r="H466" t="s">
        <v>218</v>
      </c>
      <c r="I466">
        <v>1201.2</v>
      </c>
      <c r="J466">
        <v>0</v>
      </c>
      <c r="K466" t="s">
        <v>442</v>
      </c>
      <c r="L466" t="s">
        <v>232</v>
      </c>
      <c r="N466" t="s">
        <v>187</v>
      </c>
    </row>
    <row r="467" spans="1:14" x14ac:dyDescent="0.45">
      <c r="A467">
        <v>466</v>
      </c>
      <c r="B467">
        <v>173</v>
      </c>
      <c r="C467" t="s">
        <v>74</v>
      </c>
      <c r="D467" t="s">
        <v>419</v>
      </c>
      <c r="E467">
        <v>1000</v>
      </c>
      <c r="F467" t="s">
        <v>77</v>
      </c>
      <c r="G467" t="s">
        <v>78</v>
      </c>
      <c r="H467" t="s">
        <v>218</v>
      </c>
      <c r="I467">
        <v>0</v>
      </c>
      <c r="J467">
        <v>1201.2</v>
      </c>
      <c r="K467" t="s">
        <v>442</v>
      </c>
      <c r="L467" t="s">
        <v>232</v>
      </c>
      <c r="N467" t="s">
        <v>187</v>
      </c>
    </row>
    <row r="468" spans="1:14" x14ac:dyDescent="0.45">
      <c r="A468">
        <v>467</v>
      </c>
      <c r="B468">
        <v>174</v>
      </c>
      <c r="C468" t="s">
        <v>74</v>
      </c>
      <c r="D468" t="s">
        <v>421</v>
      </c>
      <c r="E468">
        <v>7000</v>
      </c>
      <c r="F468" t="s">
        <v>133</v>
      </c>
      <c r="G468" t="s">
        <v>117</v>
      </c>
      <c r="H468" t="s">
        <v>218</v>
      </c>
      <c r="I468">
        <v>605</v>
      </c>
      <c r="J468">
        <v>0</v>
      </c>
      <c r="K468" t="s">
        <v>443</v>
      </c>
      <c r="L468" t="s">
        <v>241</v>
      </c>
      <c r="N468" t="s">
        <v>187</v>
      </c>
    </row>
    <row r="469" spans="1:14" x14ac:dyDescent="0.45">
      <c r="A469">
        <v>468</v>
      </c>
      <c r="B469">
        <v>174</v>
      </c>
      <c r="C469" t="s">
        <v>74</v>
      </c>
      <c r="D469" t="s">
        <v>421</v>
      </c>
      <c r="E469">
        <v>1500</v>
      </c>
      <c r="F469" t="s">
        <v>86</v>
      </c>
      <c r="G469" t="s">
        <v>78</v>
      </c>
      <c r="H469" t="s">
        <v>218</v>
      </c>
      <c r="I469">
        <v>0</v>
      </c>
      <c r="J469">
        <v>605</v>
      </c>
      <c r="K469" t="s">
        <v>443</v>
      </c>
      <c r="L469" t="s">
        <v>241</v>
      </c>
      <c r="N469" t="s">
        <v>187</v>
      </c>
    </row>
    <row r="470" spans="1:14" x14ac:dyDescent="0.45">
      <c r="A470">
        <v>469</v>
      </c>
      <c r="B470">
        <v>175</v>
      </c>
      <c r="C470" t="s">
        <v>74</v>
      </c>
      <c r="D470" t="s">
        <v>423</v>
      </c>
      <c r="E470">
        <v>2000</v>
      </c>
      <c r="F470" t="s">
        <v>88</v>
      </c>
      <c r="G470" t="s">
        <v>89</v>
      </c>
      <c r="H470" t="s">
        <v>218</v>
      </c>
      <c r="I470">
        <v>2160.0100000000002</v>
      </c>
      <c r="J470">
        <v>0</v>
      </c>
      <c r="K470" t="s">
        <v>444</v>
      </c>
      <c r="L470" t="s">
        <v>232</v>
      </c>
      <c r="N470" t="s">
        <v>187</v>
      </c>
    </row>
    <row r="471" spans="1:14" x14ac:dyDescent="0.45">
      <c r="A471">
        <v>470</v>
      </c>
      <c r="B471">
        <v>175</v>
      </c>
      <c r="C471" t="s">
        <v>74</v>
      </c>
      <c r="D471" t="s">
        <v>423</v>
      </c>
      <c r="E471">
        <v>1000</v>
      </c>
      <c r="F471" t="s">
        <v>77</v>
      </c>
      <c r="G471" t="s">
        <v>78</v>
      </c>
      <c r="H471" t="s">
        <v>218</v>
      </c>
      <c r="I471">
        <v>0</v>
      </c>
      <c r="J471">
        <v>2160.0100000000002</v>
      </c>
      <c r="K471" t="s">
        <v>444</v>
      </c>
      <c r="L471" t="s">
        <v>232</v>
      </c>
      <c r="N471" t="s">
        <v>187</v>
      </c>
    </row>
    <row r="472" spans="1:14" x14ac:dyDescent="0.45">
      <c r="A472">
        <v>471</v>
      </c>
      <c r="B472">
        <v>176</v>
      </c>
      <c r="C472" t="s">
        <v>72</v>
      </c>
      <c r="D472" t="s">
        <v>416</v>
      </c>
      <c r="E472">
        <v>1300</v>
      </c>
      <c r="F472" t="s">
        <v>84</v>
      </c>
      <c r="G472" t="s">
        <v>78</v>
      </c>
      <c r="H472" t="s">
        <v>261</v>
      </c>
      <c r="I472">
        <v>3352.96</v>
      </c>
      <c r="J472">
        <v>0</v>
      </c>
      <c r="K472" t="s">
        <v>445</v>
      </c>
      <c r="L472" t="s">
        <v>263</v>
      </c>
      <c r="M472" t="s">
        <v>73</v>
      </c>
      <c r="N472" t="s">
        <v>187</v>
      </c>
    </row>
    <row r="473" spans="1:14" x14ac:dyDescent="0.45">
      <c r="A473">
        <v>472</v>
      </c>
      <c r="B473">
        <v>176</v>
      </c>
      <c r="C473" t="s">
        <v>72</v>
      </c>
      <c r="D473" t="s">
        <v>416</v>
      </c>
      <c r="E473">
        <v>4090</v>
      </c>
      <c r="F473" t="s">
        <v>107</v>
      </c>
      <c r="G473" t="s">
        <v>99</v>
      </c>
      <c r="H473" t="s">
        <v>261</v>
      </c>
      <c r="I473">
        <v>0</v>
      </c>
      <c r="J473">
        <v>3352.96</v>
      </c>
      <c r="K473" t="s">
        <v>445</v>
      </c>
      <c r="L473" t="s">
        <v>263</v>
      </c>
      <c r="M473" t="s">
        <v>73</v>
      </c>
      <c r="N473" t="s">
        <v>187</v>
      </c>
    </row>
    <row r="474" spans="1:14" x14ac:dyDescent="0.45">
      <c r="A474">
        <v>473</v>
      </c>
      <c r="B474">
        <v>177</v>
      </c>
      <c r="C474" t="s">
        <v>73</v>
      </c>
      <c r="D474" t="s">
        <v>416</v>
      </c>
      <c r="E474">
        <v>6070</v>
      </c>
      <c r="F474" t="s">
        <v>131</v>
      </c>
      <c r="G474" t="s">
        <v>117</v>
      </c>
      <c r="H474" t="s">
        <v>261</v>
      </c>
      <c r="I474">
        <v>3352.96</v>
      </c>
      <c r="J474">
        <v>0</v>
      </c>
      <c r="K474" t="s">
        <v>446</v>
      </c>
      <c r="L474" t="s">
        <v>263</v>
      </c>
      <c r="M474" t="s">
        <v>72</v>
      </c>
      <c r="N474" t="s">
        <v>187</v>
      </c>
    </row>
    <row r="475" spans="1:14" x14ac:dyDescent="0.45">
      <c r="A475">
        <v>474</v>
      </c>
      <c r="B475">
        <v>177</v>
      </c>
      <c r="C475" t="s">
        <v>73</v>
      </c>
      <c r="D475" t="s">
        <v>416</v>
      </c>
      <c r="E475">
        <v>2200</v>
      </c>
      <c r="F475" t="s">
        <v>93</v>
      </c>
      <c r="G475" t="s">
        <v>89</v>
      </c>
      <c r="H475" t="s">
        <v>261</v>
      </c>
      <c r="I475">
        <v>0</v>
      </c>
      <c r="J475">
        <v>3352.96</v>
      </c>
      <c r="K475" t="s">
        <v>446</v>
      </c>
      <c r="L475" t="s">
        <v>263</v>
      </c>
      <c r="M475" t="s">
        <v>72</v>
      </c>
      <c r="N475" t="s">
        <v>187</v>
      </c>
    </row>
    <row r="476" spans="1:14" x14ac:dyDescent="0.45">
      <c r="A476">
        <v>475</v>
      </c>
      <c r="B476">
        <v>178</v>
      </c>
      <c r="C476" t="s">
        <v>73</v>
      </c>
      <c r="D476" t="s">
        <v>447</v>
      </c>
      <c r="E476">
        <v>2200</v>
      </c>
      <c r="F476" t="s">
        <v>93</v>
      </c>
      <c r="G476" t="s">
        <v>89</v>
      </c>
      <c r="H476" t="s">
        <v>261</v>
      </c>
      <c r="I476">
        <v>3320.72</v>
      </c>
      <c r="J476">
        <v>0</v>
      </c>
      <c r="K476" t="s">
        <v>448</v>
      </c>
      <c r="L476" t="s">
        <v>309</v>
      </c>
      <c r="M476" t="s">
        <v>72</v>
      </c>
      <c r="N476" t="s">
        <v>187</v>
      </c>
    </row>
    <row r="477" spans="1:14" x14ac:dyDescent="0.45">
      <c r="A477">
        <v>476</v>
      </c>
      <c r="B477">
        <v>178</v>
      </c>
      <c r="C477" t="s">
        <v>73</v>
      </c>
      <c r="D477" t="s">
        <v>447</v>
      </c>
      <c r="E477">
        <v>1000</v>
      </c>
      <c r="F477" t="s">
        <v>77</v>
      </c>
      <c r="G477" t="s">
        <v>78</v>
      </c>
      <c r="H477" t="s">
        <v>218</v>
      </c>
      <c r="I477">
        <v>0</v>
      </c>
      <c r="J477">
        <v>3320.72</v>
      </c>
      <c r="K477" t="s">
        <v>448</v>
      </c>
      <c r="L477" t="s">
        <v>309</v>
      </c>
      <c r="M477" t="s">
        <v>72</v>
      </c>
      <c r="N477" t="s">
        <v>187</v>
      </c>
    </row>
    <row r="478" spans="1:14" x14ac:dyDescent="0.45">
      <c r="A478">
        <v>477</v>
      </c>
      <c r="B478">
        <v>179</v>
      </c>
      <c r="C478" t="s">
        <v>72</v>
      </c>
      <c r="D478" t="s">
        <v>447</v>
      </c>
      <c r="E478">
        <v>1000</v>
      </c>
      <c r="F478" t="s">
        <v>77</v>
      </c>
      <c r="G478" t="s">
        <v>78</v>
      </c>
      <c r="H478" t="s">
        <v>218</v>
      </c>
      <c r="I478">
        <v>3320.72</v>
      </c>
      <c r="J478">
        <v>0</v>
      </c>
      <c r="K478" t="s">
        <v>449</v>
      </c>
      <c r="L478" t="s">
        <v>309</v>
      </c>
      <c r="M478" t="s">
        <v>73</v>
      </c>
      <c r="N478" t="s">
        <v>187</v>
      </c>
    </row>
    <row r="479" spans="1:14" x14ac:dyDescent="0.45">
      <c r="A479">
        <v>478</v>
      </c>
      <c r="B479">
        <v>179</v>
      </c>
      <c r="C479" t="s">
        <v>72</v>
      </c>
      <c r="D479" t="s">
        <v>447</v>
      </c>
      <c r="E479">
        <v>1300</v>
      </c>
      <c r="F479" t="s">
        <v>84</v>
      </c>
      <c r="G479" t="s">
        <v>78</v>
      </c>
      <c r="H479" t="s">
        <v>261</v>
      </c>
      <c r="I479">
        <v>0</v>
      </c>
      <c r="J479">
        <v>3320.72</v>
      </c>
      <c r="K479" t="s">
        <v>449</v>
      </c>
      <c r="L479" t="s">
        <v>309</v>
      </c>
      <c r="M479" t="s">
        <v>73</v>
      </c>
      <c r="N479" t="s">
        <v>187</v>
      </c>
    </row>
    <row r="480" spans="1:14" x14ac:dyDescent="0.45">
      <c r="A480">
        <v>479</v>
      </c>
      <c r="B480">
        <v>180</v>
      </c>
      <c r="C480" t="s">
        <v>72</v>
      </c>
      <c r="D480" t="s">
        <v>416</v>
      </c>
      <c r="E480">
        <v>1300</v>
      </c>
      <c r="F480" t="s">
        <v>84</v>
      </c>
      <c r="G480" t="s">
        <v>78</v>
      </c>
      <c r="H480" t="s">
        <v>261</v>
      </c>
      <c r="I480">
        <v>2974.4</v>
      </c>
      <c r="J480">
        <v>0</v>
      </c>
      <c r="K480" t="s">
        <v>450</v>
      </c>
      <c r="L480" t="s">
        <v>263</v>
      </c>
      <c r="M480" t="s">
        <v>74</v>
      </c>
      <c r="N480" t="s">
        <v>187</v>
      </c>
    </row>
    <row r="481" spans="1:14" x14ac:dyDescent="0.45">
      <c r="A481">
        <v>480</v>
      </c>
      <c r="B481">
        <v>180</v>
      </c>
      <c r="C481" t="s">
        <v>72</v>
      </c>
      <c r="D481" t="s">
        <v>416</v>
      </c>
      <c r="E481">
        <v>4090</v>
      </c>
      <c r="F481" t="s">
        <v>107</v>
      </c>
      <c r="G481" t="s">
        <v>99</v>
      </c>
      <c r="H481" t="s">
        <v>261</v>
      </c>
      <c r="I481">
        <v>0</v>
      </c>
      <c r="J481">
        <v>2974.4</v>
      </c>
      <c r="K481" t="s">
        <v>450</v>
      </c>
      <c r="L481" t="s">
        <v>263</v>
      </c>
      <c r="M481" t="s">
        <v>74</v>
      </c>
      <c r="N481" t="s">
        <v>187</v>
      </c>
    </row>
    <row r="482" spans="1:14" x14ac:dyDescent="0.45">
      <c r="A482">
        <v>481</v>
      </c>
      <c r="B482">
        <v>181</v>
      </c>
      <c r="C482" t="s">
        <v>74</v>
      </c>
      <c r="D482" t="s">
        <v>416</v>
      </c>
      <c r="E482">
        <v>6070</v>
      </c>
      <c r="F482" t="s">
        <v>131</v>
      </c>
      <c r="G482" t="s">
        <v>117</v>
      </c>
      <c r="H482" t="s">
        <v>261</v>
      </c>
      <c r="I482">
        <v>2974.4</v>
      </c>
      <c r="J482">
        <v>0</v>
      </c>
      <c r="K482" t="s">
        <v>446</v>
      </c>
      <c r="L482" t="s">
        <v>263</v>
      </c>
      <c r="M482" t="s">
        <v>72</v>
      </c>
      <c r="N482" t="s">
        <v>187</v>
      </c>
    </row>
    <row r="483" spans="1:14" x14ac:dyDescent="0.45">
      <c r="A483">
        <v>482</v>
      </c>
      <c r="B483">
        <v>181</v>
      </c>
      <c r="C483" t="s">
        <v>74</v>
      </c>
      <c r="D483" t="s">
        <v>416</v>
      </c>
      <c r="E483">
        <v>2200</v>
      </c>
      <c r="F483" t="s">
        <v>93</v>
      </c>
      <c r="G483" t="s">
        <v>89</v>
      </c>
      <c r="H483" t="s">
        <v>261</v>
      </c>
      <c r="I483">
        <v>0</v>
      </c>
      <c r="J483">
        <v>2974.4</v>
      </c>
      <c r="K483" t="s">
        <v>446</v>
      </c>
      <c r="L483" t="s">
        <v>263</v>
      </c>
      <c r="M483" t="s">
        <v>72</v>
      </c>
      <c r="N483" t="s">
        <v>187</v>
      </c>
    </row>
    <row r="484" spans="1:14" x14ac:dyDescent="0.45">
      <c r="A484">
        <v>483</v>
      </c>
      <c r="B484">
        <v>182</v>
      </c>
      <c r="C484" t="s">
        <v>74</v>
      </c>
      <c r="D484" t="s">
        <v>447</v>
      </c>
      <c r="E484">
        <v>2200</v>
      </c>
      <c r="F484" t="s">
        <v>93</v>
      </c>
      <c r="G484" t="s">
        <v>89</v>
      </c>
      <c r="H484" t="s">
        <v>261</v>
      </c>
      <c r="I484">
        <v>2945.8</v>
      </c>
      <c r="J484">
        <v>0</v>
      </c>
      <c r="K484" t="s">
        <v>448</v>
      </c>
      <c r="L484" t="s">
        <v>309</v>
      </c>
      <c r="M484" t="s">
        <v>72</v>
      </c>
      <c r="N484" t="s">
        <v>187</v>
      </c>
    </row>
    <row r="485" spans="1:14" x14ac:dyDescent="0.45">
      <c r="A485">
        <v>484</v>
      </c>
      <c r="B485">
        <v>182</v>
      </c>
      <c r="C485" t="s">
        <v>74</v>
      </c>
      <c r="D485" t="s">
        <v>447</v>
      </c>
      <c r="E485">
        <v>1000</v>
      </c>
      <c r="F485" t="s">
        <v>77</v>
      </c>
      <c r="G485" t="s">
        <v>78</v>
      </c>
      <c r="H485" t="s">
        <v>218</v>
      </c>
      <c r="I485">
        <v>0</v>
      </c>
      <c r="J485">
        <v>2945.8</v>
      </c>
      <c r="K485" t="s">
        <v>448</v>
      </c>
      <c r="L485" t="s">
        <v>309</v>
      </c>
      <c r="M485" t="s">
        <v>72</v>
      </c>
      <c r="N485" t="s">
        <v>187</v>
      </c>
    </row>
    <row r="486" spans="1:14" x14ac:dyDescent="0.45">
      <c r="A486">
        <v>485</v>
      </c>
      <c r="B486">
        <v>183</v>
      </c>
      <c r="C486" t="s">
        <v>72</v>
      </c>
      <c r="D486" t="s">
        <v>447</v>
      </c>
      <c r="E486">
        <v>1000</v>
      </c>
      <c r="F486" t="s">
        <v>77</v>
      </c>
      <c r="G486" t="s">
        <v>78</v>
      </c>
      <c r="H486" t="s">
        <v>218</v>
      </c>
      <c r="I486">
        <v>2945.8</v>
      </c>
      <c r="J486">
        <v>0</v>
      </c>
      <c r="K486" t="s">
        <v>451</v>
      </c>
      <c r="L486" t="s">
        <v>309</v>
      </c>
      <c r="M486" t="s">
        <v>74</v>
      </c>
      <c r="N486" t="s">
        <v>187</v>
      </c>
    </row>
    <row r="487" spans="1:14" x14ac:dyDescent="0.45">
      <c r="A487">
        <v>486</v>
      </c>
      <c r="B487">
        <v>183</v>
      </c>
      <c r="C487" t="s">
        <v>72</v>
      </c>
      <c r="D487" t="s">
        <v>447</v>
      </c>
      <c r="E487">
        <v>1300</v>
      </c>
      <c r="F487" t="s">
        <v>84</v>
      </c>
      <c r="G487" t="s">
        <v>78</v>
      </c>
      <c r="H487" t="s">
        <v>261</v>
      </c>
      <c r="I487">
        <v>0</v>
      </c>
      <c r="J487">
        <v>2945.8</v>
      </c>
      <c r="K487" t="s">
        <v>451</v>
      </c>
      <c r="L487" t="s">
        <v>309</v>
      </c>
      <c r="M487" t="s">
        <v>74</v>
      </c>
      <c r="N487" t="s">
        <v>187</v>
      </c>
    </row>
    <row r="488" spans="1:14" x14ac:dyDescent="0.45">
      <c r="A488">
        <v>487</v>
      </c>
      <c r="B488">
        <v>184</v>
      </c>
      <c r="C488" t="s">
        <v>72</v>
      </c>
      <c r="D488" t="s">
        <v>452</v>
      </c>
      <c r="E488">
        <v>1100</v>
      </c>
      <c r="F488" t="s">
        <v>80</v>
      </c>
      <c r="G488" t="s">
        <v>78</v>
      </c>
      <c r="H488" t="s">
        <v>218</v>
      </c>
      <c r="I488">
        <v>103409.88</v>
      </c>
      <c r="J488">
        <v>0</v>
      </c>
      <c r="K488" t="s">
        <v>453</v>
      </c>
      <c r="L488" t="s">
        <v>220</v>
      </c>
      <c r="N488" t="s">
        <v>188</v>
      </c>
    </row>
    <row r="489" spans="1:14" x14ac:dyDescent="0.45">
      <c r="A489">
        <v>488</v>
      </c>
      <c r="B489">
        <v>184</v>
      </c>
      <c r="C489" t="s">
        <v>72</v>
      </c>
      <c r="D489" t="s">
        <v>452</v>
      </c>
      <c r="E489">
        <v>4010</v>
      </c>
      <c r="F489" t="s">
        <v>101</v>
      </c>
      <c r="G489" t="s">
        <v>99</v>
      </c>
      <c r="H489" t="s">
        <v>218</v>
      </c>
      <c r="I489">
        <v>0</v>
      </c>
      <c r="J489">
        <v>43432.15</v>
      </c>
      <c r="K489" t="s">
        <v>453</v>
      </c>
      <c r="L489" t="s">
        <v>220</v>
      </c>
      <c r="N489" t="s">
        <v>188</v>
      </c>
    </row>
    <row r="490" spans="1:14" x14ac:dyDescent="0.45">
      <c r="A490">
        <v>489</v>
      </c>
      <c r="B490">
        <v>184</v>
      </c>
      <c r="C490" t="s">
        <v>72</v>
      </c>
      <c r="D490" t="s">
        <v>452</v>
      </c>
      <c r="E490">
        <v>4020</v>
      </c>
      <c r="F490" t="s">
        <v>103</v>
      </c>
      <c r="G490" t="s">
        <v>99</v>
      </c>
      <c r="H490" t="s">
        <v>218</v>
      </c>
      <c r="I490">
        <v>0</v>
      </c>
      <c r="J490">
        <v>34125.26</v>
      </c>
      <c r="K490" t="s">
        <v>453</v>
      </c>
      <c r="L490" t="s">
        <v>220</v>
      </c>
      <c r="N490" t="s">
        <v>188</v>
      </c>
    </row>
    <row r="491" spans="1:14" x14ac:dyDescent="0.45">
      <c r="A491">
        <v>490</v>
      </c>
      <c r="B491">
        <v>184</v>
      </c>
      <c r="C491" t="s">
        <v>72</v>
      </c>
      <c r="D491" t="s">
        <v>452</v>
      </c>
      <c r="E491">
        <v>4030</v>
      </c>
      <c r="F491" t="s">
        <v>105</v>
      </c>
      <c r="G491" t="s">
        <v>99</v>
      </c>
      <c r="H491" t="s">
        <v>218</v>
      </c>
      <c r="I491">
        <v>0</v>
      </c>
      <c r="J491">
        <v>25852.47</v>
      </c>
      <c r="K491" t="s">
        <v>453</v>
      </c>
      <c r="L491" t="s">
        <v>220</v>
      </c>
      <c r="N491" t="s">
        <v>188</v>
      </c>
    </row>
    <row r="492" spans="1:14" x14ac:dyDescent="0.45">
      <c r="A492">
        <v>491</v>
      </c>
      <c r="B492">
        <v>185</v>
      </c>
      <c r="C492" t="s">
        <v>72</v>
      </c>
      <c r="D492" t="s">
        <v>454</v>
      </c>
      <c r="E492">
        <v>1000</v>
      </c>
      <c r="F492" t="s">
        <v>77</v>
      </c>
      <c r="G492" t="s">
        <v>78</v>
      </c>
      <c r="H492" t="s">
        <v>218</v>
      </c>
      <c r="I492">
        <v>94331.5</v>
      </c>
      <c r="J492">
        <v>0</v>
      </c>
      <c r="K492" t="s">
        <v>455</v>
      </c>
      <c r="L492" t="s">
        <v>223</v>
      </c>
      <c r="N492" t="s">
        <v>188</v>
      </c>
    </row>
    <row r="493" spans="1:14" x14ac:dyDescent="0.45">
      <c r="A493">
        <v>492</v>
      </c>
      <c r="B493">
        <v>185</v>
      </c>
      <c r="C493" t="s">
        <v>72</v>
      </c>
      <c r="D493" t="s">
        <v>454</v>
      </c>
      <c r="E493">
        <v>1100</v>
      </c>
      <c r="F493" t="s">
        <v>80</v>
      </c>
      <c r="G493" t="s">
        <v>78</v>
      </c>
      <c r="H493" t="s">
        <v>218</v>
      </c>
      <c r="I493">
        <v>0</v>
      </c>
      <c r="J493">
        <v>94331.5</v>
      </c>
      <c r="K493" t="s">
        <v>455</v>
      </c>
      <c r="L493" t="s">
        <v>223</v>
      </c>
      <c r="N493" t="s">
        <v>188</v>
      </c>
    </row>
    <row r="494" spans="1:14" x14ac:dyDescent="0.45">
      <c r="A494">
        <v>493</v>
      </c>
      <c r="B494">
        <v>186</v>
      </c>
      <c r="C494" t="s">
        <v>72</v>
      </c>
      <c r="D494" t="s">
        <v>456</v>
      </c>
      <c r="E494">
        <v>5010</v>
      </c>
      <c r="F494" t="s">
        <v>112</v>
      </c>
      <c r="G494" t="s">
        <v>110</v>
      </c>
      <c r="H494" t="s">
        <v>218</v>
      </c>
      <c r="I494">
        <v>5873</v>
      </c>
      <c r="J494">
        <v>0</v>
      </c>
      <c r="K494" t="s">
        <v>457</v>
      </c>
      <c r="L494" t="s">
        <v>226</v>
      </c>
      <c r="N494" t="s">
        <v>188</v>
      </c>
    </row>
    <row r="495" spans="1:14" x14ac:dyDescent="0.45">
      <c r="A495">
        <v>494</v>
      </c>
      <c r="B495">
        <v>186</v>
      </c>
      <c r="C495" t="s">
        <v>72</v>
      </c>
      <c r="D495" t="s">
        <v>456</v>
      </c>
      <c r="E495">
        <v>5020</v>
      </c>
      <c r="F495" t="s">
        <v>114</v>
      </c>
      <c r="G495" t="s">
        <v>110</v>
      </c>
      <c r="H495" t="s">
        <v>218</v>
      </c>
      <c r="I495">
        <v>4805.1899999999996</v>
      </c>
      <c r="J495">
        <v>0</v>
      </c>
      <c r="K495" t="s">
        <v>457</v>
      </c>
      <c r="L495" t="s">
        <v>226</v>
      </c>
      <c r="N495" t="s">
        <v>188</v>
      </c>
    </row>
    <row r="496" spans="1:14" x14ac:dyDescent="0.45">
      <c r="A496">
        <v>495</v>
      </c>
      <c r="B496">
        <v>186</v>
      </c>
      <c r="C496" t="s">
        <v>72</v>
      </c>
      <c r="D496" t="s">
        <v>456</v>
      </c>
      <c r="E496">
        <v>1000</v>
      </c>
      <c r="F496" t="s">
        <v>77</v>
      </c>
      <c r="G496" t="s">
        <v>78</v>
      </c>
      <c r="H496" t="s">
        <v>218</v>
      </c>
      <c r="I496">
        <v>0</v>
      </c>
      <c r="J496">
        <v>7474.73</v>
      </c>
      <c r="K496" t="s">
        <v>457</v>
      </c>
      <c r="L496" t="s">
        <v>226</v>
      </c>
      <c r="N496" t="s">
        <v>188</v>
      </c>
    </row>
    <row r="497" spans="1:14" x14ac:dyDescent="0.45">
      <c r="A497">
        <v>496</v>
      </c>
      <c r="B497">
        <v>186</v>
      </c>
      <c r="C497" t="s">
        <v>72</v>
      </c>
      <c r="D497" t="s">
        <v>456</v>
      </c>
      <c r="E497">
        <v>2000</v>
      </c>
      <c r="F497" t="s">
        <v>88</v>
      </c>
      <c r="G497" t="s">
        <v>89</v>
      </c>
      <c r="H497" t="s">
        <v>218</v>
      </c>
      <c r="I497">
        <v>0</v>
      </c>
      <c r="J497">
        <v>3203.46</v>
      </c>
      <c r="K497" t="s">
        <v>457</v>
      </c>
      <c r="L497" t="s">
        <v>226</v>
      </c>
      <c r="N497" t="s">
        <v>188</v>
      </c>
    </row>
    <row r="498" spans="1:14" x14ac:dyDescent="0.45">
      <c r="A498">
        <v>497</v>
      </c>
      <c r="B498">
        <v>187</v>
      </c>
      <c r="C498" t="s">
        <v>72</v>
      </c>
      <c r="D498" t="s">
        <v>458</v>
      </c>
      <c r="E498">
        <v>6010</v>
      </c>
      <c r="F498" t="s">
        <v>119</v>
      </c>
      <c r="G498" t="s">
        <v>117</v>
      </c>
      <c r="H498" t="s">
        <v>218</v>
      </c>
      <c r="I498">
        <v>43460</v>
      </c>
      <c r="J498">
        <v>0</v>
      </c>
      <c r="K498" t="s">
        <v>459</v>
      </c>
      <c r="L498" t="s">
        <v>229</v>
      </c>
      <c r="N498" t="s">
        <v>188</v>
      </c>
    </row>
    <row r="499" spans="1:14" x14ac:dyDescent="0.45">
      <c r="A499">
        <v>498</v>
      </c>
      <c r="B499">
        <v>187</v>
      </c>
      <c r="C499" t="s">
        <v>72</v>
      </c>
      <c r="D499" t="s">
        <v>458</v>
      </c>
      <c r="E499">
        <v>6020</v>
      </c>
      <c r="F499" t="s">
        <v>121</v>
      </c>
      <c r="G499" t="s">
        <v>117</v>
      </c>
      <c r="H499" t="s">
        <v>218</v>
      </c>
      <c r="I499">
        <v>6084.4</v>
      </c>
      <c r="J499">
        <v>0</v>
      </c>
      <c r="K499" t="s">
        <v>459</v>
      </c>
      <c r="L499" t="s">
        <v>229</v>
      </c>
      <c r="N499" t="s">
        <v>188</v>
      </c>
    </row>
    <row r="500" spans="1:14" x14ac:dyDescent="0.45">
      <c r="A500">
        <v>499</v>
      </c>
      <c r="B500">
        <v>187</v>
      </c>
      <c r="C500" t="s">
        <v>72</v>
      </c>
      <c r="D500" t="s">
        <v>458</v>
      </c>
      <c r="E500">
        <v>1000</v>
      </c>
      <c r="F500" t="s">
        <v>77</v>
      </c>
      <c r="G500" t="s">
        <v>78</v>
      </c>
      <c r="H500" t="s">
        <v>218</v>
      </c>
      <c r="I500">
        <v>0</v>
      </c>
      <c r="J500">
        <v>49488.31</v>
      </c>
      <c r="K500" t="s">
        <v>459</v>
      </c>
      <c r="L500" t="s">
        <v>229</v>
      </c>
      <c r="N500" t="s">
        <v>188</v>
      </c>
    </row>
    <row r="501" spans="1:14" x14ac:dyDescent="0.45">
      <c r="A501">
        <v>500</v>
      </c>
      <c r="B501">
        <v>187</v>
      </c>
      <c r="C501" t="s">
        <v>72</v>
      </c>
      <c r="D501" t="s">
        <v>458</v>
      </c>
      <c r="E501">
        <v>2100</v>
      </c>
      <c r="F501" t="s">
        <v>91</v>
      </c>
      <c r="G501" t="s">
        <v>89</v>
      </c>
      <c r="H501" t="s">
        <v>218</v>
      </c>
      <c r="I501">
        <v>0</v>
      </c>
      <c r="J501">
        <v>4954.4399999999996</v>
      </c>
      <c r="K501" t="s">
        <v>459</v>
      </c>
      <c r="L501" t="s">
        <v>229</v>
      </c>
      <c r="N501" t="s">
        <v>188</v>
      </c>
    </row>
    <row r="502" spans="1:14" x14ac:dyDescent="0.45">
      <c r="A502">
        <v>501</v>
      </c>
      <c r="B502">
        <v>187</v>
      </c>
      <c r="C502" t="s">
        <v>72</v>
      </c>
      <c r="D502" t="s">
        <v>458</v>
      </c>
      <c r="E502">
        <v>2100</v>
      </c>
      <c r="F502" t="s">
        <v>91</v>
      </c>
      <c r="G502" t="s">
        <v>89</v>
      </c>
      <c r="H502" t="s">
        <v>218</v>
      </c>
      <c r="I502">
        <v>4898.3500000000004</v>
      </c>
      <c r="J502">
        <v>0</v>
      </c>
      <c r="K502" t="s">
        <v>459</v>
      </c>
      <c r="L502" t="s">
        <v>229</v>
      </c>
      <c r="N502" t="s">
        <v>188</v>
      </c>
    </row>
    <row r="503" spans="1:14" x14ac:dyDescent="0.45">
      <c r="A503">
        <v>502</v>
      </c>
      <c r="B503">
        <v>188</v>
      </c>
      <c r="C503" t="s">
        <v>72</v>
      </c>
      <c r="D503" t="s">
        <v>460</v>
      </c>
      <c r="E503">
        <v>6030</v>
      </c>
      <c r="F503" t="s">
        <v>123</v>
      </c>
      <c r="G503" t="s">
        <v>117</v>
      </c>
      <c r="H503" t="s">
        <v>218</v>
      </c>
      <c r="I503">
        <v>6970</v>
      </c>
      <c r="J503">
        <v>0</v>
      </c>
      <c r="K503" t="s">
        <v>461</v>
      </c>
      <c r="L503" t="s">
        <v>232</v>
      </c>
      <c r="N503" t="s">
        <v>188</v>
      </c>
    </row>
    <row r="504" spans="1:14" x14ac:dyDescent="0.45">
      <c r="A504">
        <v>503</v>
      </c>
      <c r="B504">
        <v>188</v>
      </c>
      <c r="C504" t="s">
        <v>72</v>
      </c>
      <c r="D504" t="s">
        <v>460</v>
      </c>
      <c r="E504">
        <v>1000</v>
      </c>
      <c r="F504" t="s">
        <v>77</v>
      </c>
      <c r="G504" t="s">
        <v>78</v>
      </c>
      <c r="H504" t="s">
        <v>218</v>
      </c>
      <c r="I504">
        <v>0</v>
      </c>
      <c r="J504">
        <v>6970</v>
      </c>
      <c r="K504" t="s">
        <v>461</v>
      </c>
      <c r="L504" t="s">
        <v>232</v>
      </c>
      <c r="N504" t="s">
        <v>188</v>
      </c>
    </row>
    <row r="505" spans="1:14" x14ac:dyDescent="0.45">
      <c r="A505">
        <v>504</v>
      </c>
      <c r="B505">
        <v>189</v>
      </c>
      <c r="C505" t="s">
        <v>72</v>
      </c>
      <c r="D505" t="s">
        <v>462</v>
      </c>
      <c r="E505">
        <v>6040</v>
      </c>
      <c r="F505" t="s">
        <v>125</v>
      </c>
      <c r="G505" t="s">
        <v>117</v>
      </c>
      <c r="H505" t="s">
        <v>218</v>
      </c>
      <c r="I505">
        <v>3393.27</v>
      </c>
      <c r="J505">
        <v>0</v>
      </c>
      <c r="K505" t="s">
        <v>463</v>
      </c>
      <c r="L505" t="s">
        <v>226</v>
      </c>
      <c r="N505" t="s">
        <v>188</v>
      </c>
    </row>
    <row r="506" spans="1:14" x14ac:dyDescent="0.45">
      <c r="A506">
        <v>505</v>
      </c>
      <c r="B506">
        <v>189</v>
      </c>
      <c r="C506" t="s">
        <v>72</v>
      </c>
      <c r="D506" t="s">
        <v>462</v>
      </c>
      <c r="E506">
        <v>1000</v>
      </c>
      <c r="F506" t="s">
        <v>77</v>
      </c>
      <c r="G506" t="s">
        <v>78</v>
      </c>
      <c r="H506" t="s">
        <v>218</v>
      </c>
      <c r="I506">
        <v>0</v>
      </c>
      <c r="J506">
        <v>2714.62</v>
      </c>
      <c r="K506" t="s">
        <v>463</v>
      </c>
      <c r="L506" t="s">
        <v>226</v>
      </c>
      <c r="N506" t="s">
        <v>188</v>
      </c>
    </row>
    <row r="507" spans="1:14" x14ac:dyDescent="0.45">
      <c r="A507">
        <v>506</v>
      </c>
      <c r="B507">
        <v>189</v>
      </c>
      <c r="C507" t="s">
        <v>72</v>
      </c>
      <c r="D507" t="s">
        <v>462</v>
      </c>
      <c r="E507">
        <v>2000</v>
      </c>
      <c r="F507" t="s">
        <v>88</v>
      </c>
      <c r="G507" t="s">
        <v>89</v>
      </c>
      <c r="H507" t="s">
        <v>218</v>
      </c>
      <c r="I507">
        <v>0</v>
      </c>
      <c r="J507">
        <v>678.65</v>
      </c>
      <c r="K507" t="s">
        <v>463</v>
      </c>
      <c r="L507" t="s">
        <v>226</v>
      </c>
      <c r="N507" t="s">
        <v>188</v>
      </c>
    </row>
    <row r="508" spans="1:14" x14ac:dyDescent="0.45">
      <c r="A508">
        <v>507</v>
      </c>
      <c r="B508">
        <v>190</v>
      </c>
      <c r="C508" t="s">
        <v>72</v>
      </c>
      <c r="D508" t="s">
        <v>460</v>
      </c>
      <c r="E508">
        <v>6050</v>
      </c>
      <c r="F508" t="s">
        <v>127</v>
      </c>
      <c r="G508" t="s">
        <v>117</v>
      </c>
      <c r="H508" t="s">
        <v>218</v>
      </c>
      <c r="I508">
        <v>1450</v>
      </c>
      <c r="J508">
        <v>0</v>
      </c>
      <c r="K508" t="s">
        <v>464</v>
      </c>
      <c r="L508" t="s">
        <v>236</v>
      </c>
      <c r="N508" t="s">
        <v>188</v>
      </c>
    </row>
    <row r="509" spans="1:14" x14ac:dyDescent="0.45">
      <c r="A509">
        <v>508</v>
      </c>
      <c r="B509">
        <v>190</v>
      </c>
      <c r="C509" t="s">
        <v>72</v>
      </c>
      <c r="D509" t="s">
        <v>460</v>
      </c>
      <c r="E509">
        <v>1200</v>
      </c>
      <c r="F509" t="s">
        <v>82</v>
      </c>
      <c r="G509" t="s">
        <v>78</v>
      </c>
      <c r="H509" t="s">
        <v>218</v>
      </c>
      <c r="I509">
        <v>0</v>
      </c>
      <c r="J509">
        <v>1450</v>
      </c>
      <c r="K509" t="s">
        <v>464</v>
      </c>
      <c r="L509" t="s">
        <v>236</v>
      </c>
      <c r="N509" t="s">
        <v>188</v>
      </c>
    </row>
    <row r="510" spans="1:14" x14ac:dyDescent="0.45">
      <c r="A510">
        <v>509</v>
      </c>
      <c r="B510">
        <v>191</v>
      </c>
      <c r="C510" t="s">
        <v>72</v>
      </c>
      <c r="D510" t="s">
        <v>465</v>
      </c>
      <c r="E510">
        <v>6060</v>
      </c>
      <c r="F510" t="s">
        <v>129</v>
      </c>
      <c r="G510" t="s">
        <v>117</v>
      </c>
      <c r="H510" t="s">
        <v>218</v>
      </c>
      <c r="I510">
        <v>2205</v>
      </c>
      <c r="J510">
        <v>0</v>
      </c>
      <c r="K510" t="s">
        <v>466</v>
      </c>
      <c r="L510" t="s">
        <v>232</v>
      </c>
      <c r="N510" t="s">
        <v>188</v>
      </c>
    </row>
    <row r="511" spans="1:14" x14ac:dyDescent="0.45">
      <c r="A511">
        <v>510</v>
      </c>
      <c r="B511">
        <v>191</v>
      </c>
      <c r="C511" t="s">
        <v>72</v>
      </c>
      <c r="D511" t="s">
        <v>465</v>
      </c>
      <c r="E511">
        <v>1000</v>
      </c>
      <c r="F511" t="s">
        <v>77</v>
      </c>
      <c r="G511" t="s">
        <v>78</v>
      </c>
      <c r="H511" t="s">
        <v>218</v>
      </c>
      <c r="I511">
        <v>0</v>
      </c>
      <c r="J511">
        <v>2205</v>
      </c>
      <c r="K511" t="s">
        <v>466</v>
      </c>
      <c r="L511" t="s">
        <v>232</v>
      </c>
      <c r="N511" t="s">
        <v>188</v>
      </c>
    </row>
    <row r="512" spans="1:14" x14ac:dyDescent="0.45">
      <c r="A512">
        <v>511</v>
      </c>
      <c r="B512">
        <v>192</v>
      </c>
      <c r="C512" t="s">
        <v>72</v>
      </c>
      <c r="D512" t="s">
        <v>467</v>
      </c>
      <c r="E512">
        <v>7000</v>
      </c>
      <c r="F512" t="s">
        <v>133</v>
      </c>
      <c r="G512" t="s">
        <v>117</v>
      </c>
      <c r="H512" t="s">
        <v>218</v>
      </c>
      <c r="I512">
        <v>1100</v>
      </c>
      <c r="J512">
        <v>0</v>
      </c>
      <c r="K512" t="s">
        <v>468</v>
      </c>
      <c r="L512" t="s">
        <v>241</v>
      </c>
      <c r="N512" t="s">
        <v>188</v>
      </c>
    </row>
    <row r="513" spans="1:14" x14ac:dyDescent="0.45">
      <c r="A513">
        <v>512</v>
      </c>
      <c r="B513">
        <v>192</v>
      </c>
      <c r="C513" t="s">
        <v>72</v>
      </c>
      <c r="D513" t="s">
        <v>467</v>
      </c>
      <c r="E513">
        <v>1500</v>
      </c>
      <c r="F513" t="s">
        <v>86</v>
      </c>
      <c r="G513" t="s">
        <v>78</v>
      </c>
      <c r="H513" t="s">
        <v>218</v>
      </c>
      <c r="I513">
        <v>0</v>
      </c>
      <c r="J513">
        <v>1100</v>
      </c>
      <c r="K513" t="s">
        <v>468</v>
      </c>
      <c r="L513" t="s">
        <v>241</v>
      </c>
      <c r="N513" t="s">
        <v>188</v>
      </c>
    </row>
    <row r="514" spans="1:14" x14ac:dyDescent="0.45">
      <c r="A514">
        <v>513</v>
      </c>
      <c r="B514">
        <v>193</v>
      </c>
      <c r="C514" t="s">
        <v>72</v>
      </c>
      <c r="D514" t="s">
        <v>469</v>
      </c>
      <c r="E514">
        <v>2000</v>
      </c>
      <c r="F514" t="s">
        <v>88</v>
      </c>
      <c r="G514" t="s">
        <v>89</v>
      </c>
      <c r="H514" t="s">
        <v>218</v>
      </c>
      <c r="I514">
        <v>3601.74</v>
      </c>
      <c r="J514">
        <v>0</v>
      </c>
      <c r="K514" t="s">
        <v>470</v>
      </c>
      <c r="L514" t="s">
        <v>232</v>
      </c>
      <c r="N514" t="s">
        <v>188</v>
      </c>
    </row>
    <row r="515" spans="1:14" x14ac:dyDescent="0.45">
      <c r="A515">
        <v>514</v>
      </c>
      <c r="B515">
        <v>193</v>
      </c>
      <c r="C515" t="s">
        <v>72</v>
      </c>
      <c r="D515" t="s">
        <v>469</v>
      </c>
      <c r="E515">
        <v>1000</v>
      </c>
      <c r="F515" t="s">
        <v>77</v>
      </c>
      <c r="G515" t="s">
        <v>78</v>
      </c>
      <c r="H515" t="s">
        <v>218</v>
      </c>
      <c r="I515">
        <v>0</v>
      </c>
      <c r="J515">
        <v>3601.74</v>
      </c>
      <c r="K515" t="s">
        <v>470</v>
      </c>
      <c r="L515" t="s">
        <v>232</v>
      </c>
      <c r="N515" t="s">
        <v>188</v>
      </c>
    </row>
    <row r="516" spans="1:14" x14ac:dyDescent="0.45">
      <c r="A516">
        <v>515</v>
      </c>
      <c r="B516">
        <v>194</v>
      </c>
      <c r="C516" t="s">
        <v>73</v>
      </c>
      <c r="D516" t="s">
        <v>452</v>
      </c>
      <c r="E516">
        <v>1100</v>
      </c>
      <c r="F516" t="s">
        <v>80</v>
      </c>
      <c r="G516" t="s">
        <v>78</v>
      </c>
      <c r="H516" t="s">
        <v>218</v>
      </c>
      <c r="I516">
        <v>57739.02</v>
      </c>
      <c r="J516">
        <v>0</v>
      </c>
      <c r="K516" t="s">
        <v>471</v>
      </c>
      <c r="L516" t="s">
        <v>220</v>
      </c>
      <c r="N516" t="s">
        <v>188</v>
      </c>
    </row>
    <row r="517" spans="1:14" x14ac:dyDescent="0.45">
      <c r="A517">
        <v>516</v>
      </c>
      <c r="B517">
        <v>194</v>
      </c>
      <c r="C517" t="s">
        <v>73</v>
      </c>
      <c r="D517" t="s">
        <v>452</v>
      </c>
      <c r="E517">
        <v>4010</v>
      </c>
      <c r="F517" t="s">
        <v>101</v>
      </c>
      <c r="G517" t="s">
        <v>99</v>
      </c>
      <c r="H517" t="s">
        <v>218</v>
      </c>
      <c r="I517">
        <v>0</v>
      </c>
      <c r="J517">
        <v>24250.39</v>
      </c>
      <c r="K517" t="s">
        <v>471</v>
      </c>
      <c r="L517" t="s">
        <v>220</v>
      </c>
      <c r="N517" t="s">
        <v>188</v>
      </c>
    </row>
    <row r="518" spans="1:14" x14ac:dyDescent="0.45">
      <c r="A518">
        <v>517</v>
      </c>
      <c r="B518">
        <v>194</v>
      </c>
      <c r="C518" t="s">
        <v>73</v>
      </c>
      <c r="D518" t="s">
        <v>452</v>
      </c>
      <c r="E518">
        <v>4020</v>
      </c>
      <c r="F518" t="s">
        <v>103</v>
      </c>
      <c r="G518" t="s">
        <v>99</v>
      </c>
      <c r="H518" t="s">
        <v>218</v>
      </c>
      <c r="I518">
        <v>0</v>
      </c>
      <c r="J518">
        <v>19053.88</v>
      </c>
      <c r="K518" t="s">
        <v>471</v>
      </c>
      <c r="L518" t="s">
        <v>220</v>
      </c>
      <c r="N518" t="s">
        <v>188</v>
      </c>
    </row>
    <row r="519" spans="1:14" x14ac:dyDescent="0.45">
      <c r="A519">
        <v>518</v>
      </c>
      <c r="B519">
        <v>194</v>
      </c>
      <c r="C519" t="s">
        <v>73</v>
      </c>
      <c r="D519" t="s">
        <v>452</v>
      </c>
      <c r="E519">
        <v>4030</v>
      </c>
      <c r="F519" t="s">
        <v>105</v>
      </c>
      <c r="G519" t="s">
        <v>99</v>
      </c>
      <c r="H519" t="s">
        <v>218</v>
      </c>
      <c r="I519">
        <v>0</v>
      </c>
      <c r="J519">
        <v>14434.75</v>
      </c>
      <c r="K519" t="s">
        <v>471</v>
      </c>
      <c r="L519" t="s">
        <v>220</v>
      </c>
      <c r="N519" t="s">
        <v>188</v>
      </c>
    </row>
    <row r="520" spans="1:14" x14ac:dyDescent="0.45">
      <c r="A520">
        <v>519</v>
      </c>
      <c r="B520">
        <v>195</v>
      </c>
      <c r="C520" t="s">
        <v>73</v>
      </c>
      <c r="D520" t="s">
        <v>454</v>
      </c>
      <c r="E520">
        <v>1000</v>
      </c>
      <c r="F520" t="s">
        <v>77</v>
      </c>
      <c r="G520" t="s">
        <v>78</v>
      </c>
      <c r="H520" t="s">
        <v>218</v>
      </c>
      <c r="I520">
        <v>53352.36</v>
      </c>
      <c r="J520">
        <v>0</v>
      </c>
      <c r="K520" t="s">
        <v>472</v>
      </c>
      <c r="L520" t="s">
        <v>223</v>
      </c>
      <c r="N520" t="s">
        <v>188</v>
      </c>
    </row>
    <row r="521" spans="1:14" x14ac:dyDescent="0.45">
      <c r="A521">
        <v>520</v>
      </c>
      <c r="B521">
        <v>195</v>
      </c>
      <c r="C521" t="s">
        <v>73</v>
      </c>
      <c r="D521" t="s">
        <v>454</v>
      </c>
      <c r="E521">
        <v>1100</v>
      </c>
      <c r="F521" t="s">
        <v>80</v>
      </c>
      <c r="G521" t="s">
        <v>78</v>
      </c>
      <c r="H521" t="s">
        <v>218</v>
      </c>
      <c r="I521">
        <v>0</v>
      </c>
      <c r="J521">
        <v>53352.36</v>
      </c>
      <c r="K521" t="s">
        <v>472</v>
      </c>
      <c r="L521" t="s">
        <v>223</v>
      </c>
      <c r="N521" t="s">
        <v>188</v>
      </c>
    </row>
    <row r="522" spans="1:14" x14ac:dyDescent="0.45">
      <c r="A522">
        <v>521</v>
      </c>
      <c r="B522">
        <v>196</v>
      </c>
      <c r="C522" t="s">
        <v>73</v>
      </c>
      <c r="D522" t="s">
        <v>456</v>
      </c>
      <c r="E522">
        <v>5010</v>
      </c>
      <c r="F522" t="s">
        <v>112</v>
      </c>
      <c r="G522" t="s">
        <v>110</v>
      </c>
      <c r="H522" t="s">
        <v>218</v>
      </c>
      <c r="I522">
        <v>3279.2</v>
      </c>
      <c r="J522">
        <v>0</v>
      </c>
      <c r="K522" t="s">
        <v>473</v>
      </c>
      <c r="L522" t="s">
        <v>226</v>
      </c>
      <c r="N522" t="s">
        <v>188</v>
      </c>
    </row>
    <row r="523" spans="1:14" x14ac:dyDescent="0.45">
      <c r="A523">
        <v>522</v>
      </c>
      <c r="B523">
        <v>196</v>
      </c>
      <c r="C523" t="s">
        <v>73</v>
      </c>
      <c r="D523" t="s">
        <v>456</v>
      </c>
      <c r="E523">
        <v>5020</v>
      </c>
      <c r="F523" t="s">
        <v>114</v>
      </c>
      <c r="G523" t="s">
        <v>110</v>
      </c>
      <c r="H523" t="s">
        <v>218</v>
      </c>
      <c r="I523">
        <v>2682.98</v>
      </c>
      <c r="J523">
        <v>0</v>
      </c>
      <c r="K523" t="s">
        <v>473</v>
      </c>
      <c r="L523" t="s">
        <v>226</v>
      </c>
      <c r="N523" t="s">
        <v>188</v>
      </c>
    </row>
    <row r="524" spans="1:14" x14ac:dyDescent="0.45">
      <c r="A524">
        <v>523</v>
      </c>
      <c r="B524">
        <v>196</v>
      </c>
      <c r="C524" t="s">
        <v>73</v>
      </c>
      <c r="D524" t="s">
        <v>456</v>
      </c>
      <c r="E524">
        <v>1000</v>
      </c>
      <c r="F524" t="s">
        <v>77</v>
      </c>
      <c r="G524" t="s">
        <v>78</v>
      </c>
      <c r="H524" t="s">
        <v>218</v>
      </c>
      <c r="I524">
        <v>0</v>
      </c>
      <c r="J524">
        <v>4173.53</v>
      </c>
      <c r="K524" t="s">
        <v>473</v>
      </c>
      <c r="L524" t="s">
        <v>226</v>
      </c>
      <c r="N524" t="s">
        <v>188</v>
      </c>
    </row>
    <row r="525" spans="1:14" x14ac:dyDescent="0.45">
      <c r="A525">
        <v>524</v>
      </c>
      <c r="B525">
        <v>196</v>
      </c>
      <c r="C525" t="s">
        <v>73</v>
      </c>
      <c r="D525" t="s">
        <v>456</v>
      </c>
      <c r="E525">
        <v>2000</v>
      </c>
      <c r="F525" t="s">
        <v>88</v>
      </c>
      <c r="G525" t="s">
        <v>89</v>
      </c>
      <c r="H525" t="s">
        <v>218</v>
      </c>
      <c r="I525">
        <v>0</v>
      </c>
      <c r="J525">
        <v>1788.65</v>
      </c>
      <c r="K525" t="s">
        <v>473</v>
      </c>
      <c r="L525" t="s">
        <v>226</v>
      </c>
      <c r="N525" t="s">
        <v>188</v>
      </c>
    </row>
    <row r="526" spans="1:14" x14ac:dyDescent="0.45">
      <c r="A526">
        <v>525</v>
      </c>
      <c r="B526">
        <v>197</v>
      </c>
      <c r="C526" t="s">
        <v>73</v>
      </c>
      <c r="D526" t="s">
        <v>458</v>
      </c>
      <c r="E526">
        <v>6010</v>
      </c>
      <c r="F526" t="s">
        <v>119</v>
      </c>
      <c r="G526" t="s">
        <v>117</v>
      </c>
      <c r="H526" t="s">
        <v>218</v>
      </c>
      <c r="I526">
        <v>26945.200000000001</v>
      </c>
      <c r="J526">
        <v>0</v>
      </c>
      <c r="K526" t="s">
        <v>474</v>
      </c>
      <c r="L526" t="s">
        <v>229</v>
      </c>
      <c r="N526" t="s">
        <v>188</v>
      </c>
    </row>
    <row r="527" spans="1:14" x14ac:dyDescent="0.45">
      <c r="A527">
        <v>526</v>
      </c>
      <c r="B527">
        <v>197</v>
      </c>
      <c r="C527" t="s">
        <v>73</v>
      </c>
      <c r="D527" t="s">
        <v>458</v>
      </c>
      <c r="E527">
        <v>6020</v>
      </c>
      <c r="F527" t="s">
        <v>121</v>
      </c>
      <c r="G527" t="s">
        <v>117</v>
      </c>
      <c r="H527" t="s">
        <v>218</v>
      </c>
      <c r="I527">
        <v>3772.33</v>
      </c>
      <c r="J527">
        <v>0</v>
      </c>
      <c r="K527" t="s">
        <v>474</v>
      </c>
      <c r="L527" t="s">
        <v>229</v>
      </c>
      <c r="N527" t="s">
        <v>188</v>
      </c>
    </row>
    <row r="528" spans="1:14" x14ac:dyDescent="0.45">
      <c r="A528">
        <v>527</v>
      </c>
      <c r="B528">
        <v>197</v>
      </c>
      <c r="C528" t="s">
        <v>73</v>
      </c>
      <c r="D528" t="s">
        <v>458</v>
      </c>
      <c r="E528">
        <v>1000</v>
      </c>
      <c r="F528" t="s">
        <v>77</v>
      </c>
      <c r="G528" t="s">
        <v>78</v>
      </c>
      <c r="H528" t="s">
        <v>218</v>
      </c>
      <c r="I528">
        <v>0</v>
      </c>
      <c r="J528">
        <v>30682.76</v>
      </c>
      <c r="K528" t="s">
        <v>474</v>
      </c>
      <c r="L528" t="s">
        <v>229</v>
      </c>
      <c r="N528" t="s">
        <v>188</v>
      </c>
    </row>
    <row r="529" spans="1:14" x14ac:dyDescent="0.45">
      <c r="A529">
        <v>528</v>
      </c>
      <c r="B529">
        <v>197</v>
      </c>
      <c r="C529" t="s">
        <v>73</v>
      </c>
      <c r="D529" t="s">
        <v>458</v>
      </c>
      <c r="E529">
        <v>2100</v>
      </c>
      <c r="F529" t="s">
        <v>91</v>
      </c>
      <c r="G529" t="s">
        <v>89</v>
      </c>
      <c r="H529" t="s">
        <v>218</v>
      </c>
      <c r="I529">
        <v>0</v>
      </c>
      <c r="J529">
        <v>3071.75</v>
      </c>
      <c r="K529" t="s">
        <v>474</v>
      </c>
      <c r="L529" t="s">
        <v>229</v>
      </c>
      <c r="N529" t="s">
        <v>188</v>
      </c>
    </row>
    <row r="530" spans="1:14" x14ac:dyDescent="0.45">
      <c r="A530">
        <v>529</v>
      </c>
      <c r="B530">
        <v>197</v>
      </c>
      <c r="C530" t="s">
        <v>73</v>
      </c>
      <c r="D530" t="s">
        <v>458</v>
      </c>
      <c r="E530">
        <v>2100</v>
      </c>
      <c r="F530" t="s">
        <v>91</v>
      </c>
      <c r="G530" t="s">
        <v>89</v>
      </c>
      <c r="H530" t="s">
        <v>218</v>
      </c>
      <c r="I530">
        <v>3036.98</v>
      </c>
      <c r="J530">
        <v>0</v>
      </c>
      <c r="K530" t="s">
        <v>474</v>
      </c>
      <c r="L530" t="s">
        <v>229</v>
      </c>
      <c r="N530" t="s">
        <v>188</v>
      </c>
    </row>
    <row r="531" spans="1:14" x14ac:dyDescent="0.45">
      <c r="A531">
        <v>530</v>
      </c>
      <c r="B531">
        <v>198</v>
      </c>
      <c r="C531" t="s">
        <v>73</v>
      </c>
      <c r="D531" t="s">
        <v>460</v>
      </c>
      <c r="E531">
        <v>6030</v>
      </c>
      <c r="F531" t="s">
        <v>123</v>
      </c>
      <c r="G531" t="s">
        <v>117</v>
      </c>
      <c r="H531" t="s">
        <v>218</v>
      </c>
      <c r="I531">
        <v>4321.3999999999996</v>
      </c>
      <c r="J531">
        <v>0</v>
      </c>
      <c r="K531" t="s">
        <v>475</v>
      </c>
      <c r="L531" t="s">
        <v>232</v>
      </c>
      <c r="N531" t="s">
        <v>188</v>
      </c>
    </row>
    <row r="532" spans="1:14" x14ac:dyDescent="0.45">
      <c r="A532">
        <v>531</v>
      </c>
      <c r="B532">
        <v>198</v>
      </c>
      <c r="C532" t="s">
        <v>73</v>
      </c>
      <c r="D532" t="s">
        <v>460</v>
      </c>
      <c r="E532">
        <v>1000</v>
      </c>
      <c r="F532" t="s">
        <v>77</v>
      </c>
      <c r="G532" t="s">
        <v>78</v>
      </c>
      <c r="H532" t="s">
        <v>218</v>
      </c>
      <c r="I532">
        <v>0</v>
      </c>
      <c r="J532">
        <v>4321.3999999999996</v>
      </c>
      <c r="K532" t="s">
        <v>475</v>
      </c>
      <c r="L532" t="s">
        <v>232</v>
      </c>
      <c r="N532" t="s">
        <v>188</v>
      </c>
    </row>
    <row r="533" spans="1:14" x14ac:dyDescent="0.45">
      <c r="A533">
        <v>532</v>
      </c>
      <c r="B533">
        <v>199</v>
      </c>
      <c r="C533" t="s">
        <v>73</v>
      </c>
      <c r="D533" t="s">
        <v>462</v>
      </c>
      <c r="E533">
        <v>6040</v>
      </c>
      <c r="F533" t="s">
        <v>125</v>
      </c>
      <c r="G533" t="s">
        <v>117</v>
      </c>
      <c r="H533" t="s">
        <v>218</v>
      </c>
      <c r="I533">
        <v>1894.64</v>
      </c>
      <c r="J533">
        <v>0</v>
      </c>
      <c r="K533" t="s">
        <v>476</v>
      </c>
      <c r="L533" t="s">
        <v>226</v>
      </c>
      <c r="N533" t="s">
        <v>188</v>
      </c>
    </row>
    <row r="534" spans="1:14" x14ac:dyDescent="0.45">
      <c r="A534">
        <v>533</v>
      </c>
      <c r="B534">
        <v>199</v>
      </c>
      <c r="C534" t="s">
        <v>73</v>
      </c>
      <c r="D534" t="s">
        <v>462</v>
      </c>
      <c r="E534">
        <v>1000</v>
      </c>
      <c r="F534" t="s">
        <v>77</v>
      </c>
      <c r="G534" t="s">
        <v>78</v>
      </c>
      <c r="H534" t="s">
        <v>218</v>
      </c>
      <c r="I534">
        <v>0</v>
      </c>
      <c r="J534">
        <v>1515.71</v>
      </c>
      <c r="K534" t="s">
        <v>476</v>
      </c>
      <c r="L534" t="s">
        <v>226</v>
      </c>
      <c r="N534" t="s">
        <v>188</v>
      </c>
    </row>
    <row r="535" spans="1:14" x14ac:dyDescent="0.45">
      <c r="A535">
        <v>534</v>
      </c>
      <c r="B535">
        <v>199</v>
      </c>
      <c r="C535" t="s">
        <v>73</v>
      </c>
      <c r="D535" t="s">
        <v>462</v>
      </c>
      <c r="E535">
        <v>2000</v>
      </c>
      <c r="F535" t="s">
        <v>88</v>
      </c>
      <c r="G535" t="s">
        <v>89</v>
      </c>
      <c r="H535" t="s">
        <v>218</v>
      </c>
      <c r="I535">
        <v>0</v>
      </c>
      <c r="J535">
        <v>378.93</v>
      </c>
      <c r="K535" t="s">
        <v>476</v>
      </c>
      <c r="L535" t="s">
        <v>226</v>
      </c>
      <c r="N535" t="s">
        <v>188</v>
      </c>
    </row>
    <row r="536" spans="1:14" x14ac:dyDescent="0.45">
      <c r="A536">
        <v>535</v>
      </c>
      <c r="B536">
        <v>200</v>
      </c>
      <c r="C536" t="s">
        <v>73</v>
      </c>
      <c r="D536" t="s">
        <v>460</v>
      </c>
      <c r="E536">
        <v>6050</v>
      </c>
      <c r="F536" t="s">
        <v>127</v>
      </c>
      <c r="G536" t="s">
        <v>117</v>
      </c>
      <c r="H536" t="s">
        <v>218</v>
      </c>
      <c r="I536">
        <v>899</v>
      </c>
      <c r="J536">
        <v>0</v>
      </c>
      <c r="K536" t="s">
        <v>477</v>
      </c>
      <c r="L536" t="s">
        <v>236</v>
      </c>
      <c r="N536" t="s">
        <v>188</v>
      </c>
    </row>
    <row r="537" spans="1:14" x14ac:dyDescent="0.45">
      <c r="A537">
        <v>536</v>
      </c>
      <c r="B537">
        <v>200</v>
      </c>
      <c r="C537" t="s">
        <v>73</v>
      </c>
      <c r="D537" t="s">
        <v>460</v>
      </c>
      <c r="E537">
        <v>1200</v>
      </c>
      <c r="F537" t="s">
        <v>82</v>
      </c>
      <c r="G537" t="s">
        <v>78</v>
      </c>
      <c r="H537" t="s">
        <v>218</v>
      </c>
      <c r="I537">
        <v>0</v>
      </c>
      <c r="J537">
        <v>899</v>
      </c>
      <c r="K537" t="s">
        <v>477</v>
      </c>
      <c r="L537" t="s">
        <v>236</v>
      </c>
      <c r="N537" t="s">
        <v>188</v>
      </c>
    </row>
    <row r="538" spans="1:14" x14ac:dyDescent="0.45">
      <c r="A538">
        <v>537</v>
      </c>
      <c r="B538">
        <v>201</v>
      </c>
      <c r="C538" t="s">
        <v>73</v>
      </c>
      <c r="D538" t="s">
        <v>465</v>
      </c>
      <c r="E538">
        <v>6060</v>
      </c>
      <c r="F538" t="s">
        <v>129</v>
      </c>
      <c r="G538" t="s">
        <v>117</v>
      </c>
      <c r="H538" t="s">
        <v>218</v>
      </c>
      <c r="I538">
        <v>1367.1</v>
      </c>
      <c r="J538">
        <v>0</v>
      </c>
      <c r="K538" t="s">
        <v>478</v>
      </c>
      <c r="L538" t="s">
        <v>232</v>
      </c>
      <c r="N538" t="s">
        <v>188</v>
      </c>
    </row>
    <row r="539" spans="1:14" x14ac:dyDescent="0.45">
      <c r="A539">
        <v>538</v>
      </c>
      <c r="B539">
        <v>201</v>
      </c>
      <c r="C539" t="s">
        <v>73</v>
      </c>
      <c r="D539" t="s">
        <v>465</v>
      </c>
      <c r="E539">
        <v>1000</v>
      </c>
      <c r="F539" t="s">
        <v>77</v>
      </c>
      <c r="G539" t="s">
        <v>78</v>
      </c>
      <c r="H539" t="s">
        <v>218</v>
      </c>
      <c r="I539">
        <v>0</v>
      </c>
      <c r="J539">
        <v>1367.1</v>
      </c>
      <c r="K539" t="s">
        <v>478</v>
      </c>
      <c r="L539" t="s">
        <v>232</v>
      </c>
      <c r="N539" t="s">
        <v>188</v>
      </c>
    </row>
    <row r="540" spans="1:14" x14ac:dyDescent="0.45">
      <c r="A540">
        <v>539</v>
      </c>
      <c r="B540">
        <v>202</v>
      </c>
      <c r="C540" t="s">
        <v>73</v>
      </c>
      <c r="D540" t="s">
        <v>467</v>
      </c>
      <c r="E540">
        <v>7000</v>
      </c>
      <c r="F540" t="s">
        <v>133</v>
      </c>
      <c r="G540" t="s">
        <v>117</v>
      </c>
      <c r="H540" t="s">
        <v>218</v>
      </c>
      <c r="I540">
        <v>682</v>
      </c>
      <c r="J540">
        <v>0</v>
      </c>
      <c r="K540" t="s">
        <v>479</v>
      </c>
      <c r="L540" t="s">
        <v>241</v>
      </c>
      <c r="N540" t="s">
        <v>188</v>
      </c>
    </row>
    <row r="541" spans="1:14" x14ac:dyDescent="0.45">
      <c r="A541">
        <v>540</v>
      </c>
      <c r="B541">
        <v>202</v>
      </c>
      <c r="C541" t="s">
        <v>73</v>
      </c>
      <c r="D541" t="s">
        <v>467</v>
      </c>
      <c r="E541">
        <v>1500</v>
      </c>
      <c r="F541" t="s">
        <v>86</v>
      </c>
      <c r="G541" t="s">
        <v>78</v>
      </c>
      <c r="H541" t="s">
        <v>218</v>
      </c>
      <c r="I541">
        <v>0</v>
      </c>
      <c r="J541">
        <v>682</v>
      </c>
      <c r="K541" t="s">
        <v>479</v>
      </c>
      <c r="L541" t="s">
        <v>241</v>
      </c>
      <c r="N541" t="s">
        <v>188</v>
      </c>
    </row>
    <row r="542" spans="1:14" x14ac:dyDescent="0.45">
      <c r="A542">
        <v>541</v>
      </c>
      <c r="B542">
        <v>203</v>
      </c>
      <c r="C542" t="s">
        <v>73</v>
      </c>
      <c r="D542" t="s">
        <v>469</v>
      </c>
      <c r="E542">
        <v>2000</v>
      </c>
      <c r="F542" t="s">
        <v>88</v>
      </c>
      <c r="G542" t="s">
        <v>89</v>
      </c>
      <c r="H542" t="s">
        <v>218</v>
      </c>
      <c r="I542">
        <v>2191</v>
      </c>
      <c r="J542">
        <v>0</v>
      </c>
      <c r="K542" t="s">
        <v>480</v>
      </c>
      <c r="L542" t="s">
        <v>232</v>
      </c>
      <c r="N542" t="s">
        <v>188</v>
      </c>
    </row>
    <row r="543" spans="1:14" x14ac:dyDescent="0.45">
      <c r="A543">
        <v>542</v>
      </c>
      <c r="B543">
        <v>203</v>
      </c>
      <c r="C543" t="s">
        <v>73</v>
      </c>
      <c r="D543" t="s">
        <v>469</v>
      </c>
      <c r="E543">
        <v>1000</v>
      </c>
      <c r="F543" t="s">
        <v>77</v>
      </c>
      <c r="G543" t="s">
        <v>78</v>
      </c>
      <c r="H543" t="s">
        <v>218</v>
      </c>
      <c r="I543">
        <v>0</v>
      </c>
      <c r="J543">
        <v>2191</v>
      </c>
      <c r="K543" t="s">
        <v>480</v>
      </c>
      <c r="L543" t="s">
        <v>232</v>
      </c>
      <c r="N543" t="s">
        <v>188</v>
      </c>
    </row>
    <row r="544" spans="1:14" x14ac:dyDescent="0.45">
      <c r="A544">
        <v>543</v>
      </c>
      <c r="B544">
        <v>204</v>
      </c>
      <c r="C544" t="s">
        <v>74</v>
      </c>
      <c r="D544" t="s">
        <v>452</v>
      </c>
      <c r="E544">
        <v>1100</v>
      </c>
      <c r="F544" t="s">
        <v>80</v>
      </c>
      <c r="G544" t="s">
        <v>78</v>
      </c>
      <c r="H544" t="s">
        <v>218</v>
      </c>
      <c r="I544">
        <v>54002.93</v>
      </c>
      <c r="J544">
        <v>0</v>
      </c>
      <c r="K544" t="s">
        <v>481</v>
      </c>
      <c r="L544" t="s">
        <v>220</v>
      </c>
      <c r="N544" t="s">
        <v>188</v>
      </c>
    </row>
    <row r="545" spans="1:14" x14ac:dyDescent="0.45">
      <c r="A545">
        <v>544</v>
      </c>
      <c r="B545">
        <v>204</v>
      </c>
      <c r="C545" t="s">
        <v>74</v>
      </c>
      <c r="D545" t="s">
        <v>452</v>
      </c>
      <c r="E545">
        <v>4010</v>
      </c>
      <c r="F545" t="s">
        <v>101</v>
      </c>
      <c r="G545" t="s">
        <v>99</v>
      </c>
      <c r="H545" t="s">
        <v>218</v>
      </c>
      <c r="I545">
        <v>0</v>
      </c>
      <c r="J545">
        <v>22681.23</v>
      </c>
      <c r="K545" t="s">
        <v>481</v>
      </c>
      <c r="L545" t="s">
        <v>220</v>
      </c>
      <c r="N545" t="s">
        <v>188</v>
      </c>
    </row>
    <row r="546" spans="1:14" x14ac:dyDescent="0.45">
      <c r="A546">
        <v>545</v>
      </c>
      <c r="B546">
        <v>204</v>
      </c>
      <c r="C546" t="s">
        <v>74</v>
      </c>
      <c r="D546" t="s">
        <v>452</v>
      </c>
      <c r="E546">
        <v>4020</v>
      </c>
      <c r="F546" t="s">
        <v>103</v>
      </c>
      <c r="G546" t="s">
        <v>99</v>
      </c>
      <c r="H546" t="s">
        <v>218</v>
      </c>
      <c r="I546">
        <v>0</v>
      </c>
      <c r="J546">
        <v>17820.97</v>
      </c>
      <c r="K546" t="s">
        <v>481</v>
      </c>
      <c r="L546" t="s">
        <v>220</v>
      </c>
      <c r="N546" t="s">
        <v>188</v>
      </c>
    </row>
    <row r="547" spans="1:14" x14ac:dyDescent="0.45">
      <c r="A547">
        <v>546</v>
      </c>
      <c r="B547">
        <v>204</v>
      </c>
      <c r="C547" t="s">
        <v>74</v>
      </c>
      <c r="D547" t="s">
        <v>452</v>
      </c>
      <c r="E547">
        <v>4030</v>
      </c>
      <c r="F547" t="s">
        <v>105</v>
      </c>
      <c r="G547" t="s">
        <v>99</v>
      </c>
      <c r="H547" t="s">
        <v>218</v>
      </c>
      <c r="I547">
        <v>0</v>
      </c>
      <c r="J547">
        <v>13500.73</v>
      </c>
      <c r="K547" t="s">
        <v>481</v>
      </c>
      <c r="L547" t="s">
        <v>220</v>
      </c>
      <c r="N547" t="s">
        <v>188</v>
      </c>
    </row>
    <row r="548" spans="1:14" x14ac:dyDescent="0.45">
      <c r="A548">
        <v>547</v>
      </c>
      <c r="B548">
        <v>205</v>
      </c>
      <c r="C548" t="s">
        <v>74</v>
      </c>
      <c r="D548" t="s">
        <v>454</v>
      </c>
      <c r="E548">
        <v>1000</v>
      </c>
      <c r="F548" t="s">
        <v>77</v>
      </c>
      <c r="G548" t="s">
        <v>78</v>
      </c>
      <c r="H548" t="s">
        <v>218</v>
      </c>
      <c r="I548">
        <v>49159.83</v>
      </c>
      <c r="J548">
        <v>0</v>
      </c>
      <c r="K548" t="s">
        <v>482</v>
      </c>
      <c r="L548" t="s">
        <v>223</v>
      </c>
      <c r="N548" t="s">
        <v>188</v>
      </c>
    </row>
    <row r="549" spans="1:14" x14ac:dyDescent="0.45">
      <c r="A549">
        <v>548</v>
      </c>
      <c r="B549">
        <v>205</v>
      </c>
      <c r="C549" t="s">
        <v>74</v>
      </c>
      <c r="D549" t="s">
        <v>454</v>
      </c>
      <c r="E549">
        <v>1100</v>
      </c>
      <c r="F549" t="s">
        <v>80</v>
      </c>
      <c r="G549" t="s">
        <v>78</v>
      </c>
      <c r="H549" t="s">
        <v>218</v>
      </c>
      <c r="I549">
        <v>0</v>
      </c>
      <c r="J549">
        <v>49159.83</v>
      </c>
      <c r="K549" t="s">
        <v>482</v>
      </c>
      <c r="L549" t="s">
        <v>223</v>
      </c>
      <c r="N549" t="s">
        <v>188</v>
      </c>
    </row>
    <row r="550" spans="1:14" x14ac:dyDescent="0.45">
      <c r="A550">
        <v>549</v>
      </c>
      <c r="B550">
        <v>206</v>
      </c>
      <c r="C550" t="s">
        <v>74</v>
      </c>
      <c r="D550" t="s">
        <v>456</v>
      </c>
      <c r="E550">
        <v>5010</v>
      </c>
      <c r="F550" t="s">
        <v>112</v>
      </c>
      <c r="G550" t="s">
        <v>110</v>
      </c>
      <c r="H550" t="s">
        <v>218</v>
      </c>
      <c r="I550">
        <v>3067.01</v>
      </c>
      <c r="J550">
        <v>0</v>
      </c>
      <c r="K550" t="s">
        <v>483</v>
      </c>
      <c r="L550" t="s">
        <v>226</v>
      </c>
      <c r="N550" t="s">
        <v>188</v>
      </c>
    </row>
    <row r="551" spans="1:14" x14ac:dyDescent="0.45">
      <c r="A551">
        <v>550</v>
      </c>
      <c r="B551">
        <v>206</v>
      </c>
      <c r="C551" t="s">
        <v>74</v>
      </c>
      <c r="D551" t="s">
        <v>456</v>
      </c>
      <c r="E551">
        <v>5020</v>
      </c>
      <c r="F551" t="s">
        <v>114</v>
      </c>
      <c r="G551" t="s">
        <v>110</v>
      </c>
      <c r="H551" t="s">
        <v>218</v>
      </c>
      <c r="I551">
        <v>2509.38</v>
      </c>
      <c r="J551">
        <v>0</v>
      </c>
      <c r="K551" t="s">
        <v>483</v>
      </c>
      <c r="L551" t="s">
        <v>226</v>
      </c>
      <c r="N551" t="s">
        <v>188</v>
      </c>
    </row>
    <row r="552" spans="1:14" x14ac:dyDescent="0.45">
      <c r="A552">
        <v>551</v>
      </c>
      <c r="B552">
        <v>206</v>
      </c>
      <c r="C552" t="s">
        <v>74</v>
      </c>
      <c r="D552" t="s">
        <v>456</v>
      </c>
      <c r="E552">
        <v>1000</v>
      </c>
      <c r="F552" t="s">
        <v>77</v>
      </c>
      <c r="G552" t="s">
        <v>78</v>
      </c>
      <c r="H552" t="s">
        <v>218</v>
      </c>
      <c r="I552">
        <v>0</v>
      </c>
      <c r="J552">
        <v>3903.47</v>
      </c>
      <c r="K552" t="s">
        <v>483</v>
      </c>
      <c r="L552" t="s">
        <v>226</v>
      </c>
      <c r="N552" t="s">
        <v>188</v>
      </c>
    </row>
    <row r="553" spans="1:14" x14ac:dyDescent="0.45">
      <c r="A553">
        <v>552</v>
      </c>
      <c r="B553">
        <v>206</v>
      </c>
      <c r="C553" t="s">
        <v>74</v>
      </c>
      <c r="D553" t="s">
        <v>456</v>
      </c>
      <c r="E553">
        <v>2000</v>
      </c>
      <c r="F553" t="s">
        <v>88</v>
      </c>
      <c r="G553" t="s">
        <v>89</v>
      </c>
      <c r="H553" t="s">
        <v>218</v>
      </c>
      <c r="I553">
        <v>0</v>
      </c>
      <c r="J553">
        <v>1672.92</v>
      </c>
      <c r="K553" t="s">
        <v>483</v>
      </c>
      <c r="L553" t="s">
        <v>226</v>
      </c>
      <c r="N553" t="s">
        <v>188</v>
      </c>
    </row>
    <row r="554" spans="1:14" x14ac:dyDescent="0.45">
      <c r="A554">
        <v>553</v>
      </c>
      <c r="B554">
        <v>207</v>
      </c>
      <c r="C554" t="s">
        <v>74</v>
      </c>
      <c r="D554" t="s">
        <v>458</v>
      </c>
      <c r="E554">
        <v>6010</v>
      </c>
      <c r="F554" t="s">
        <v>119</v>
      </c>
      <c r="G554" t="s">
        <v>117</v>
      </c>
      <c r="H554" t="s">
        <v>218</v>
      </c>
      <c r="I554">
        <v>23903</v>
      </c>
      <c r="J554">
        <v>0</v>
      </c>
      <c r="K554" t="s">
        <v>484</v>
      </c>
      <c r="L554" t="s">
        <v>229</v>
      </c>
      <c r="N554" t="s">
        <v>188</v>
      </c>
    </row>
    <row r="555" spans="1:14" x14ac:dyDescent="0.45">
      <c r="A555">
        <v>554</v>
      </c>
      <c r="B555">
        <v>207</v>
      </c>
      <c r="C555" t="s">
        <v>74</v>
      </c>
      <c r="D555" t="s">
        <v>458</v>
      </c>
      <c r="E555">
        <v>6020</v>
      </c>
      <c r="F555" t="s">
        <v>121</v>
      </c>
      <c r="G555" t="s">
        <v>117</v>
      </c>
      <c r="H555" t="s">
        <v>218</v>
      </c>
      <c r="I555">
        <v>3346.42</v>
      </c>
      <c r="J555">
        <v>0</v>
      </c>
      <c r="K555" t="s">
        <v>484</v>
      </c>
      <c r="L555" t="s">
        <v>229</v>
      </c>
      <c r="N555" t="s">
        <v>188</v>
      </c>
    </row>
    <row r="556" spans="1:14" x14ac:dyDescent="0.45">
      <c r="A556">
        <v>555</v>
      </c>
      <c r="B556">
        <v>207</v>
      </c>
      <c r="C556" t="s">
        <v>74</v>
      </c>
      <c r="D556" t="s">
        <v>458</v>
      </c>
      <c r="E556">
        <v>1000</v>
      </c>
      <c r="F556" t="s">
        <v>77</v>
      </c>
      <c r="G556" t="s">
        <v>78</v>
      </c>
      <c r="H556" t="s">
        <v>218</v>
      </c>
      <c r="I556">
        <v>0</v>
      </c>
      <c r="J556">
        <v>27218.57</v>
      </c>
      <c r="K556" t="s">
        <v>484</v>
      </c>
      <c r="L556" t="s">
        <v>229</v>
      </c>
      <c r="N556" t="s">
        <v>188</v>
      </c>
    </row>
    <row r="557" spans="1:14" x14ac:dyDescent="0.45">
      <c r="A557">
        <v>556</v>
      </c>
      <c r="B557">
        <v>207</v>
      </c>
      <c r="C557" t="s">
        <v>74</v>
      </c>
      <c r="D557" t="s">
        <v>458</v>
      </c>
      <c r="E557">
        <v>2100</v>
      </c>
      <c r="F557" t="s">
        <v>91</v>
      </c>
      <c r="G557" t="s">
        <v>89</v>
      </c>
      <c r="H557" t="s">
        <v>218</v>
      </c>
      <c r="I557">
        <v>0</v>
      </c>
      <c r="J557">
        <v>2724.94</v>
      </c>
      <c r="K557" t="s">
        <v>484</v>
      </c>
      <c r="L557" t="s">
        <v>229</v>
      </c>
      <c r="N557" t="s">
        <v>188</v>
      </c>
    </row>
    <row r="558" spans="1:14" x14ac:dyDescent="0.45">
      <c r="A558">
        <v>557</v>
      </c>
      <c r="B558">
        <v>207</v>
      </c>
      <c r="C558" t="s">
        <v>74</v>
      </c>
      <c r="D558" t="s">
        <v>458</v>
      </c>
      <c r="E558">
        <v>2100</v>
      </c>
      <c r="F558" t="s">
        <v>91</v>
      </c>
      <c r="G558" t="s">
        <v>89</v>
      </c>
      <c r="H558" t="s">
        <v>218</v>
      </c>
      <c r="I558">
        <v>2694.09</v>
      </c>
      <c r="J558">
        <v>0</v>
      </c>
      <c r="K558" t="s">
        <v>484</v>
      </c>
      <c r="L558" t="s">
        <v>229</v>
      </c>
      <c r="N558" t="s">
        <v>188</v>
      </c>
    </row>
    <row r="559" spans="1:14" x14ac:dyDescent="0.45">
      <c r="A559">
        <v>558</v>
      </c>
      <c r="B559">
        <v>208</v>
      </c>
      <c r="C559" t="s">
        <v>74</v>
      </c>
      <c r="D559" t="s">
        <v>460</v>
      </c>
      <c r="E559">
        <v>6030</v>
      </c>
      <c r="F559" t="s">
        <v>123</v>
      </c>
      <c r="G559" t="s">
        <v>117</v>
      </c>
      <c r="H559" t="s">
        <v>218</v>
      </c>
      <c r="I559">
        <v>3833.5</v>
      </c>
      <c r="J559">
        <v>0</v>
      </c>
      <c r="K559" t="s">
        <v>485</v>
      </c>
      <c r="L559" t="s">
        <v>232</v>
      </c>
      <c r="N559" t="s">
        <v>188</v>
      </c>
    </row>
    <row r="560" spans="1:14" x14ac:dyDescent="0.45">
      <c r="A560">
        <v>559</v>
      </c>
      <c r="B560">
        <v>208</v>
      </c>
      <c r="C560" t="s">
        <v>74</v>
      </c>
      <c r="D560" t="s">
        <v>460</v>
      </c>
      <c r="E560">
        <v>1000</v>
      </c>
      <c r="F560" t="s">
        <v>77</v>
      </c>
      <c r="G560" t="s">
        <v>78</v>
      </c>
      <c r="H560" t="s">
        <v>218</v>
      </c>
      <c r="I560">
        <v>0</v>
      </c>
      <c r="J560">
        <v>3833.5</v>
      </c>
      <c r="K560" t="s">
        <v>485</v>
      </c>
      <c r="L560" t="s">
        <v>232</v>
      </c>
      <c r="N560" t="s">
        <v>188</v>
      </c>
    </row>
    <row r="561" spans="1:14" x14ac:dyDescent="0.45">
      <c r="A561">
        <v>560</v>
      </c>
      <c r="B561">
        <v>209</v>
      </c>
      <c r="C561" t="s">
        <v>74</v>
      </c>
      <c r="D561" t="s">
        <v>462</v>
      </c>
      <c r="E561">
        <v>6040</v>
      </c>
      <c r="F561" t="s">
        <v>125</v>
      </c>
      <c r="G561" t="s">
        <v>117</v>
      </c>
      <c r="H561" t="s">
        <v>218</v>
      </c>
      <c r="I561">
        <v>1772.04</v>
      </c>
      <c r="J561">
        <v>0</v>
      </c>
      <c r="K561" t="s">
        <v>486</v>
      </c>
      <c r="L561" t="s">
        <v>226</v>
      </c>
      <c r="N561" t="s">
        <v>188</v>
      </c>
    </row>
    <row r="562" spans="1:14" x14ac:dyDescent="0.45">
      <c r="A562">
        <v>561</v>
      </c>
      <c r="B562">
        <v>209</v>
      </c>
      <c r="C562" t="s">
        <v>74</v>
      </c>
      <c r="D562" t="s">
        <v>462</v>
      </c>
      <c r="E562">
        <v>1000</v>
      </c>
      <c r="F562" t="s">
        <v>77</v>
      </c>
      <c r="G562" t="s">
        <v>78</v>
      </c>
      <c r="H562" t="s">
        <v>218</v>
      </c>
      <c r="I562">
        <v>0</v>
      </c>
      <c r="J562">
        <v>1417.63</v>
      </c>
      <c r="K562" t="s">
        <v>486</v>
      </c>
      <c r="L562" t="s">
        <v>226</v>
      </c>
      <c r="N562" t="s">
        <v>188</v>
      </c>
    </row>
    <row r="563" spans="1:14" x14ac:dyDescent="0.45">
      <c r="A563">
        <v>562</v>
      </c>
      <c r="B563">
        <v>209</v>
      </c>
      <c r="C563" t="s">
        <v>74</v>
      </c>
      <c r="D563" t="s">
        <v>462</v>
      </c>
      <c r="E563">
        <v>2000</v>
      </c>
      <c r="F563" t="s">
        <v>88</v>
      </c>
      <c r="G563" t="s">
        <v>89</v>
      </c>
      <c r="H563" t="s">
        <v>218</v>
      </c>
      <c r="I563">
        <v>0</v>
      </c>
      <c r="J563">
        <v>354.41</v>
      </c>
      <c r="K563" t="s">
        <v>486</v>
      </c>
      <c r="L563" t="s">
        <v>226</v>
      </c>
      <c r="N563" t="s">
        <v>188</v>
      </c>
    </row>
    <row r="564" spans="1:14" x14ac:dyDescent="0.45">
      <c r="A564">
        <v>563</v>
      </c>
      <c r="B564">
        <v>210</v>
      </c>
      <c r="C564" t="s">
        <v>74</v>
      </c>
      <c r="D564" t="s">
        <v>460</v>
      </c>
      <c r="E564">
        <v>6050</v>
      </c>
      <c r="F564" t="s">
        <v>127</v>
      </c>
      <c r="G564" t="s">
        <v>117</v>
      </c>
      <c r="H564" t="s">
        <v>218</v>
      </c>
      <c r="I564">
        <v>797.5</v>
      </c>
      <c r="J564">
        <v>0</v>
      </c>
      <c r="K564" t="s">
        <v>487</v>
      </c>
      <c r="L564" t="s">
        <v>236</v>
      </c>
      <c r="N564" t="s">
        <v>188</v>
      </c>
    </row>
    <row r="565" spans="1:14" x14ac:dyDescent="0.45">
      <c r="A565">
        <v>564</v>
      </c>
      <c r="B565">
        <v>210</v>
      </c>
      <c r="C565" t="s">
        <v>74</v>
      </c>
      <c r="D565" t="s">
        <v>460</v>
      </c>
      <c r="E565">
        <v>1200</v>
      </c>
      <c r="F565" t="s">
        <v>82</v>
      </c>
      <c r="G565" t="s">
        <v>78</v>
      </c>
      <c r="H565" t="s">
        <v>218</v>
      </c>
      <c r="I565">
        <v>0</v>
      </c>
      <c r="J565">
        <v>797.5</v>
      </c>
      <c r="K565" t="s">
        <v>487</v>
      </c>
      <c r="L565" t="s">
        <v>236</v>
      </c>
      <c r="N565" t="s">
        <v>188</v>
      </c>
    </row>
    <row r="566" spans="1:14" x14ac:dyDescent="0.45">
      <c r="A566">
        <v>565</v>
      </c>
      <c r="B566">
        <v>211</v>
      </c>
      <c r="C566" t="s">
        <v>74</v>
      </c>
      <c r="D566" t="s">
        <v>465</v>
      </c>
      <c r="E566">
        <v>6060</v>
      </c>
      <c r="F566" t="s">
        <v>129</v>
      </c>
      <c r="G566" t="s">
        <v>117</v>
      </c>
      <c r="H566" t="s">
        <v>218</v>
      </c>
      <c r="I566">
        <v>1212.75</v>
      </c>
      <c r="J566">
        <v>0</v>
      </c>
      <c r="K566" t="s">
        <v>488</v>
      </c>
      <c r="L566" t="s">
        <v>232</v>
      </c>
      <c r="N566" t="s">
        <v>188</v>
      </c>
    </row>
    <row r="567" spans="1:14" x14ac:dyDescent="0.45">
      <c r="A567">
        <v>566</v>
      </c>
      <c r="B567">
        <v>211</v>
      </c>
      <c r="C567" t="s">
        <v>74</v>
      </c>
      <c r="D567" t="s">
        <v>465</v>
      </c>
      <c r="E567">
        <v>1000</v>
      </c>
      <c r="F567" t="s">
        <v>77</v>
      </c>
      <c r="G567" t="s">
        <v>78</v>
      </c>
      <c r="H567" t="s">
        <v>218</v>
      </c>
      <c r="I567">
        <v>0</v>
      </c>
      <c r="J567">
        <v>1212.75</v>
      </c>
      <c r="K567" t="s">
        <v>488</v>
      </c>
      <c r="L567" t="s">
        <v>232</v>
      </c>
      <c r="N567" t="s">
        <v>188</v>
      </c>
    </row>
    <row r="568" spans="1:14" x14ac:dyDescent="0.45">
      <c r="A568">
        <v>567</v>
      </c>
      <c r="B568">
        <v>212</v>
      </c>
      <c r="C568" t="s">
        <v>74</v>
      </c>
      <c r="D568" t="s">
        <v>467</v>
      </c>
      <c r="E568">
        <v>7000</v>
      </c>
      <c r="F568" t="s">
        <v>133</v>
      </c>
      <c r="G568" t="s">
        <v>117</v>
      </c>
      <c r="H568" t="s">
        <v>218</v>
      </c>
      <c r="I568">
        <v>605</v>
      </c>
      <c r="J568">
        <v>0</v>
      </c>
      <c r="K568" t="s">
        <v>489</v>
      </c>
      <c r="L568" t="s">
        <v>241</v>
      </c>
      <c r="N568" t="s">
        <v>188</v>
      </c>
    </row>
    <row r="569" spans="1:14" x14ac:dyDescent="0.45">
      <c r="A569">
        <v>568</v>
      </c>
      <c r="B569">
        <v>212</v>
      </c>
      <c r="C569" t="s">
        <v>74</v>
      </c>
      <c r="D569" t="s">
        <v>467</v>
      </c>
      <c r="E569">
        <v>1500</v>
      </c>
      <c r="F569" t="s">
        <v>86</v>
      </c>
      <c r="G569" t="s">
        <v>78</v>
      </c>
      <c r="H569" t="s">
        <v>218</v>
      </c>
      <c r="I569">
        <v>0</v>
      </c>
      <c r="J569">
        <v>605</v>
      </c>
      <c r="K569" t="s">
        <v>489</v>
      </c>
      <c r="L569" t="s">
        <v>241</v>
      </c>
      <c r="N569" t="s">
        <v>188</v>
      </c>
    </row>
    <row r="570" spans="1:14" x14ac:dyDescent="0.45">
      <c r="A570">
        <v>569</v>
      </c>
      <c r="B570">
        <v>213</v>
      </c>
      <c r="C570" t="s">
        <v>74</v>
      </c>
      <c r="D570" t="s">
        <v>469</v>
      </c>
      <c r="E570">
        <v>2000</v>
      </c>
      <c r="F570" t="s">
        <v>88</v>
      </c>
      <c r="G570" t="s">
        <v>89</v>
      </c>
      <c r="H570" t="s">
        <v>218</v>
      </c>
      <c r="I570">
        <v>1889.28</v>
      </c>
      <c r="J570">
        <v>0</v>
      </c>
      <c r="K570" t="s">
        <v>490</v>
      </c>
      <c r="L570" t="s">
        <v>232</v>
      </c>
      <c r="N570" t="s">
        <v>188</v>
      </c>
    </row>
    <row r="571" spans="1:14" x14ac:dyDescent="0.45">
      <c r="A571">
        <v>570</v>
      </c>
      <c r="B571">
        <v>213</v>
      </c>
      <c r="C571" t="s">
        <v>74</v>
      </c>
      <c r="D571" t="s">
        <v>469</v>
      </c>
      <c r="E571">
        <v>1000</v>
      </c>
      <c r="F571" t="s">
        <v>77</v>
      </c>
      <c r="G571" t="s">
        <v>78</v>
      </c>
      <c r="H571" t="s">
        <v>218</v>
      </c>
      <c r="I571">
        <v>0</v>
      </c>
      <c r="J571">
        <v>1889.28</v>
      </c>
      <c r="K571" t="s">
        <v>490</v>
      </c>
      <c r="L571" t="s">
        <v>232</v>
      </c>
      <c r="N571" t="s">
        <v>188</v>
      </c>
    </row>
    <row r="572" spans="1:14" x14ac:dyDescent="0.45">
      <c r="A572">
        <v>571</v>
      </c>
      <c r="B572">
        <v>214</v>
      </c>
      <c r="C572" t="s">
        <v>72</v>
      </c>
      <c r="D572" t="s">
        <v>491</v>
      </c>
      <c r="E572">
        <v>1300</v>
      </c>
      <c r="F572" t="s">
        <v>84</v>
      </c>
      <c r="G572" t="s">
        <v>78</v>
      </c>
      <c r="H572" t="s">
        <v>261</v>
      </c>
      <c r="I572">
        <v>3385.2</v>
      </c>
      <c r="J572">
        <v>0</v>
      </c>
      <c r="K572" t="s">
        <v>492</v>
      </c>
      <c r="L572" t="s">
        <v>263</v>
      </c>
      <c r="M572" t="s">
        <v>73</v>
      </c>
      <c r="N572" t="s">
        <v>188</v>
      </c>
    </row>
    <row r="573" spans="1:14" x14ac:dyDescent="0.45">
      <c r="A573">
        <v>572</v>
      </c>
      <c r="B573">
        <v>214</v>
      </c>
      <c r="C573" t="s">
        <v>72</v>
      </c>
      <c r="D573" t="s">
        <v>491</v>
      </c>
      <c r="E573">
        <v>4090</v>
      </c>
      <c r="F573" t="s">
        <v>107</v>
      </c>
      <c r="G573" t="s">
        <v>99</v>
      </c>
      <c r="H573" t="s">
        <v>261</v>
      </c>
      <c r="I573">
        <v>0</v>
      </c>
      <c r="J573">
        <v>3385.2</v>
      </c>
      <c r="K573" t="s">
        <v>492</v>
      </c>
      <c r="L573" t="s">
        <v>263</v>
      </c>
      <c r="M573" t="s">
        <v>73</v>
      </c>
      <c r="N573" t="s">
        <v>188</v>
      </c>
    </row>
    <row r="574" spans="1:14" x14ac:dyDescent="0.45">
      <c r="A574">
        <v>573</v>
      </c>
      <c r="B574">
        <v>215</v>
      </c>
      <c r="C574" t="s">
        <v>73</v>
      </c>
      <c r="D574" t="s">
        <v>491</v>
      </c>
      <c r="E574">
        <v>6070</v>
      </c>
      <c r="F574" t="s">
        <v>131</v>
      </c>
      <c r="G574" t="s">
        <v>117</v>
      </c>
      <c r="H574" t="s">
        <v>261</v>
      </c>
      <c r="I574">
        <v>3385.2</v>
      </c>
      <c r="J574">
        <v>0</v>
      </c>
      <c r="K574" t="s">
        <v>493</v>
      </c>
      <c r="L574" t="s">
        <v>263</v>
      </c>
      <c r="M574" t="s">
        <v>72</v>
      </c>
      <c r="N574" t="s">
        <v>188</v>
      </c>
    </row>
    <row r="575" spans="1:14" x14ac:dyDescent="0.45">
      <c r="A575">
        <v>574</v>
      </c>
      <c r="B575">
        <v>215</v>
      </c>
      <c r="C575" t="s">
        <v>73</v>
      </c>
      <c r="D575" t="s">
        <v>491</v>
      </c>
      <c r="E575">
        <v>2200</v>
      </c>
      <c r="F575" t="s">
        <v>93</v>
      </c>
      <c r="G575" t="s">
        <v>89</v>
      </c>
      <c r="H575" t="s">
        <v>261</v>
      </c>
      <c r="I575">
        <v>0</v>
      </c>
      <c r="J575">
        <v>3385.2</v>
      </c>
      <c r="K575" t="s">
        <v>493</v>
      </c>
      <c r="L575" t="s">
        <v>263</v>
      </c>
      <c r="M575" t="s">
        <v>72</v>
      </c>
      <c r="N575" t="s">
        <v>188</v>
      </c>
    </row>
    <row r="576" spans="1:14" x14ac:dyDescent="0.45">
      <c r="A576">
        <v>575</v>
      </c>
      <c r="B576">
        <v>216</v>
      </c>
      <c r="C576" t="s">
        <v>73</v>
      </c>
      <c r="D576" t="s">
        <v>494</v>
      </c>
      <c r="E576">
        <v>2200</v>
      </c>
      <c r="F576" t="s">
        <v>93</v>
      </c>
      <c r="G576" t="s">
        <v>89</v>
      </c>
      <c r="H576" t="s">
        <v>261</v>
      </c>
      <c r="I576">
        <v>3352.96</v>
      </c>
      <c r="J576">
        <v>0</v>
      </c>
      <c r="K576" t="s">
        <v>495</v>
      </c>
      <c r="L576" t="s">
        <v>309</v>
      </c>
      <c r="M576" t="s">
        <v>72</v>
      </c>
      <c r="N576" t="s">
        <v>188</v>
      </c>
    </row>
    <row r="577" spans="1:14" x14ac:dyDescent="0.45">
      <c r="A577">
        <v>576</v>
      </c>
      <c r="B577">
        <v>216</v>
      </c>
      <c r="C577" t="s">
        <v>73</v>
      </c>
      <c r="D577" t="s">
        <v>494</v>
      </c>
      <c r="E577">
        <v>1000</v>
      </c>
      <c r="F577" t="s">
        <v>77</v>
      </c>
      <c r="G577" t="s">
        <v>78</v>
      </c>
      <c r="H577" t="s">
        <v>218</v>
      </c>
      <c r="I577">
        <v>0</v>
      </c>
      <c r="J577">
        <v>3352.96</v>
      </c>
      <c r="K577" t="s">
        <v>495</v>
      </c>
      <c r="L577" t="s">
        <v>309</v>
      </c>
      <c r="M577" t="s">
        <v>72</v>
      </c>
      <c r="N577" t="s">
        <v>188</v>
      </c>
    </row>
    <row r="578" spans="1:14" x14ac:dyDescent="0.45">
      <c r="A578">
        <v>577</v>
      </c>
      <c r="B578">
        <v>217</v>
      </c>
      <c r="C578" t="s">
        <v>72</v>
      </c>
      <c r="D578" t="s">
        <v>494</v>
      </c>
      <c r="E578">
        <v>1000</v>
      </c>
      <c r="F578" t="s">
        <v>77</v>
      </c>
      <c r="G578" t="s">
        <v>78</v>
      </c>
      <c r="H578" t="s">
        <v>218</v>
      </c>
      <c r="I578">
        <v>3352.96</v>
      </c>
      <c r="J578">
        <v>0</v>
      </c>
      <c r="K578" t="s">
        <v>496</v>
      </c>
      <c r="L578" t="s">
        <v>309</v>
      </c>
      <c r="M578" t="s">
        <v>73</v>
      </c>
      <c r="N578" t="s">
        <v>188</v>
      </c>
    </row>
    <row r="579" spans="1:14" x14ac:dyDescent="0.45">
      <c r="A579">
        <v>578</v>
      </c>
      <c r="B579">
        <v>217</v>
      </c>
      <c r="C579" t="s">
        <v>72</v>
      </c>
      <c r="D579" t="s">
        <v>494</v>
      </c>
      <c r="E579">
        <v>1300</v>
      </c>
      <c r="F579" t="s">
        <v>84</v>
      </c>
      <c r="G579" t="s">
        <v>78</v>
      </c>
      <c r="H579" t="s">
        <v>261</v>
      </c>
      <c r="I579">
        <v>0</v>
      </c>
      <c r="J579">
        <v>3352.96</v>
      </c>
      <c r="K579" t="s">
        <v>496</v>
      </c>
      <c r="L579" t="s">
        <v>309</v>
      </c>
      <c r="M579" t="s">
        <v>73</v>
      </c>
      <c r="N579" t="s">
        <v>188</v>
      </c>
    </row>
    <row r="580" spans="1:14" x14ac:dyDescent="0.45">
      <c r="A580">
        <v>579</v>
      </c>
      <c r="B580">
        <v>218</v>
      </c>
      <c r="C580" t="s">
        <v>72</v>
      </c>
      <c r="D580" t="s">
        <v>491</v>
      </c>
      <c r="E580">
        <v>1300</v>
      </c>
      <c r="F580" t="s">
        <v>84</v>
      </c>
      <c r="G580" t="s">
        <v>78</v>
      </c>
      <c r="H580" t="s">
        <v>261</v>
      </c>
      <c r="I580">
        <v>3003</v>
      </c>
      <c r="J580">
        <v>0</v>
      </c>
      <c r="K580" t="s">
        <v>497</v>
      </c>
      <c r="L580" t="s">
        <v>263</v>
      </c>
      <c r="M580" t="s">
        <v>74</v>
      </c>
      <c r="N580" t="s">
        <v>188</v>
      </c>
    </row>
    <row r="581" spans="1:14" x14ac:dyDescent="0.45">
      <c r="A581">
        <v>580</v>
      </c>
      <c r="B581">
        <v>218</v>
      </c>
      <c r="C581" t="s">
        <v>72</v>
      </c>
      <c r="D581" t="s">
        <v>491</v>
      </c>
      <c r="E581">
        <v>4090</v>
      </c>
      <c r="F581" t="s">
        <v>107</v>
      </c>
      <c r="G581" t="s">
        <v>99</v>
      </c>
      <c r="H581" t="s">
        <v>261</v>
      </c>
      <c r="I581">
        <v>0</v>
      </c>
      <c r="J581">
        <v>3003</v>
      </c>
      <c r="K581" t="s">
        <v>497</v>
      </c>
      <c r="L581" t="s">
        <v>263</v>
      </c>
      <c r="M581" t="s">
        <v>74</v>
      </c>
      <c r="N581" t="s">
        <v>188</v>
      </c>
    </row>
    <row r="582" spans="1:14" x14ac:dyDescent="0.45">
      <c r="A582">
        <v>581</v>
      </c>
      <c r="B582">
        <v>219</v>
      </c>
      <c r="C582" t="s">
        <v>74</v>
      </c>
      <c r="D582" t="s">
        <v>491</v>
      </c>
      <c r="E582">
        <v>6070</v>
      </c>
      <c r="F582" t="s">
        <v>131</v>
      </c>
      <c r="G582" t="s">
        <v>117</v>
      </c>
      <c r="H582" t="s">
        <v>261</v>
      </c>
      <c r="I582">
        <v>3003</v>
      </c>
      <c r="J582">
        <v>0</v>
      </c>
      <c r="K582" t="s">
        <v>493</v>
      </c>
      <c r="L582" t="s">
        <v>263</v>
      </c>
      <c r="M582" t="s">
        <v>72</v>
      </c>
      <c r="N582" t="s">
        <v>188</v>
      </c>
    </row>
    <row r="583" spans="1:14" x14ac:dyDescent="0.45">
      <c r="A583">
        <v>582</v>
      </c>
      <c r="B583">
        <v>219</v>
      </c>
      <c r="C583" t="s">
        <v>74</v>
      </c>
      <c r="D583" t="s">
        <v>491</v>
      </c>
      <c r="E583">
        <v>2200</v>
      </c>
      <c r="F583" t="s">
        <v>93</v>
      </c>
      <c r="G583" t="s">
        <v>89</v>
      </c>
      <c r="H583" t="s">
        <v>261</v>
      </c>
      <c r="I583">
        <v>0</v>
      </c>
      <c r="J583">
        <v>3003</v>
      </c>
      <c r="K583" t="s">
        <v>493</v>
      </c>
      <c r="L583" t="s">
        <v>263</v>
      </c>
      <c r="M583" t="s">
        <v>72</v>
      </c>
      <c r="N583" t="s">
        <v>188</v>
      </c>
    </row>
    <row r="584" spans="1:14" x14ac:dyDescent="0.45">
      <c r="A584">
        <v>583</v>
      </c>
      <c r="B584">
        <v>220</v>
      </c>
      <c r="C584" t="s">
        <v>74</v>
      </c>
      <c r="D584" t="s">
        <v>494</v>
      </c>
      <c r="E584">
        <v>2200</v>
      </c>
      <c r="F584" t="s">
        <v>93</v>
      </c>
      <c r="G584" t="s">
        <v>89</v>
      </c>
      <c r="H584" t="s">
        <v>261</v>
      </c>
      <c r="I584">
        <v>2974.4</v>
      </c>
      <c r="J584">
        <v>0</v>
      </c>
      <c r="K584" t="s">
        <v>495</v>
      </c>
      <c r="L584" t="s">
        <v>309</v>
      </c>
      <c r="M584" t="s">
        <v>72</v>
      </c>
      <c r="N584" t="s">
        <v>188</v>
      </c>
    </row>
    <row r="585" spans="1:14" x14ac:dyDescent="0.45">
      <c r="A585">
        <v>584</v>
      </c>
      <c r="B585">
        <v>220</v>
      </c>
      <c r="C585" t="s">
        <v>74</v>
      </c>
      <c r="D585" t="s">
        <v>494</v>
      </c>
      <c r="E585">
        <v>1000</v>
      </c>
      <c r="F585" t="s">
        <v>77</v>
      </c>
      <c r="G585" t="s">
        <v>78</v>
      </c>
      <c r="H585" t="s">
        <v>218</v>
      </c>
      <c r="I585">
        <v>0</v>
      </c>
      <c r="J585">
        <v>2974.4</v>
      </c>
      <c r="K585" t="s">
        <v>495</v>
      </c>
      <c r="L585" t="s">
        <v>309</v>
      </c>
      <c r="M585" t="s">
        <v>72</v>
      </c>
      <c r="N585" t="s">
        <v>188</v>
      </c>
    </row>
    <row r="586" spans="1:14" x14ac:dyDescent="0.45">
      <c r="A586">
        <v>585</v>
      </c>
      <c r="B586">
        <v>221</v>
      </c>
      <c r="C586" t="s">
        <v>72</v>
      </c>
      <c r="D586" t="s">
        <v>494</v>
      </c>
      <c r="E586">
        <v>1000</v>
      </c>
      <c r="F586" t="s">
        <v>77</v>
      </c>
      <c r="G586" t="s">
        <v>78</v>
      </c>
      <c r="H586" t="s">
        <v>218</v>
      </c>
      <c r="I586">
        <v>2974.4</v>
      </c>
      <c r="J586">
        <v>0</v>
      </c>
      <c r="K586" t="s">
        <v>498</v>
      </c>
      <c r="L586" t="s">
        <v>309</v>
      </c>
      <c r="M586" t="s">
        <v>74</v>
      </c>
      <c r="N586" t="s">
        <v>188</v>
      </c>
    </row>
    <row r="587" spans="1:14" x14ac:dyDescent="0.45">
      <c r="A587">
        <v>586</v>
      </c>
      <c r="B587">
        <v>221</v>
      </c>
      <c r="C587" t="s">
        <v>72</v>
      </c>
      <c r="D587" t="s">
        <v>494</v>
      </c>
      <c r="E587">
        <v>1300</v>
      </c>
      <c r="F587" t="s">
        <v>84</v>
      </c>
      <c r="G587" t="s">
        <v>78</v>
      </c>
      <c r="H587" t="s">
        <v>261</v>
      </c>
      <c r="I587">
        <v>0</v>
      </c>
      <c r="J587">
        <v>2974.4</v>
      </c>
      <c r="K587" t="s">
        <v>498</v>
      </c>
      <c r="L587" t="s">
        <v>309</v>
      </c>
      <c r="M587" t="s">
        <v>74</v>
      </c>
      <c r="N587" t="s">
        <v>188</v>
      </c>
    </row>
    <row r="588" spans="1:14" x14ac:dyDescent="0.45">
      <c r="A588">
        <v>587</v>
      </c>
      <c r="B588">
        <v>222</v>
      </c>
      <c r="C588" t="s">
        <v>72</v>
      </c>
      <c r="D588" t="s">
        <v>499</v>
      </c>
      <c r="E588">
        <v>1100</v>
      </c>
      <c r="F588" t="s">
        <v>80</v>
      </c>
      <c r="G588" t="s">
        <v>78</v>
      </c>
      <c r="H588" t="s">
        <v>218</v>
      </c>
      <c r="I588">
        <v>100820.26</v>
      </c>
      <c r="J588">
        <v>0</v>
      </c>
      <c r="K588" t="s">
        <v>500</v>
      </c>
      <c r="L588" t="s">
        <v>220</v>
      </c>
      <c r="N588" t="s">
        <v>189</v>
      </c>
    </row>
    <row r="589" spans="1:14" x14ac:dyDescent="0.45">
      <c r="A589">
        <v>588</v>
      </c>
      <c r="B589">
        <v>222</v>
      </c>
      <c r="C589" t="s">
        <v>72</v>
      </c>
      <c r="D589" t="s">
        <v>499</v>
      </c>
      <c r="E589">
        <v>4010</v>
      </c>
      <c r="F589" t="s">
        <v>101</v>
      </c>
      <c r="G589" t="s">
        <v>99</v>
      </c>
      <c r="H589" t="s">
        <v>218</v>
      </c>
      <c r="I589">
        <v>0</v>
      </c>
      <c r="J589">
        <v>42344.51</v>
      </c>
      <c r="K589" t="s">
        <v>500</v>
      </c>
      <c r="L589" t="s">
        <v>220</v>
      </c>
      <c r="N589" t="s">
        <v>189</v>
      </c>
    </row>
    <row r="590" spans="1:14" x14ac:dyDescent="0.45">
      <c r="A590">
        <v>589</v>
      </c>
      <c r="B590">
        <v>222</v>
      </c>
      <c r="C590" t="s">
        <v>72</v>
      </c>
      <c r="D590" t="s">
        <v>499</v>
      </c>
      <c r="E590">
        <v>4020</v>
      </c>
      <c r="F590" t="s">
        <v>103</v>
      </c>
      <c r="G590" t="s">
        <v>99</v>
      </c>
      <c r="H590" t="s">
        <v>218</v>
      </c>
      <c r="I590">
        <v>0</v>
      </c>
      <c r="J590">
        <v>33270.69</v>
      </c>
      <c r="K590" t="s">
        <v>500</v>
      </c>
      <c r="L590" t="s">
        <v>220</v>
      </c>
      <c r="N590" t="s">
        <v>189</v>
      </c>
    </row>
    <row r="591" spans="1:14" x14ac:dyDescent="0.45">
      <c r="A591">
        <v>590</v>
      </c>
      <c r="B591">
        <v>222</v>
      </c>
      <c r="C591" t="s">
        <v>72</v>
      </c>
      <c r="D591" t="s">
        <v>499</v>
      </c>
      <c r="E591">
        <v>4030</v>
      </c>
      <c r="F591" t="s">
        <v>105</v>
      </c>
      <c r="G591" t="s">
        <v>99</v>
      </c>
      <c r="H591" t="s">
        <v>218</v>
      </c>
      <c r="I591">
        <v>0</v>
      </c>
      <c r="J591">
        <v>25205.06</v>
      </c>
      <c r="K591" t="s">
        <v>500</v>
      </c>
      <c r="L591" t="s">
        <v>220</v>
      </c>
      <c r="N591" t="s">
        <v>189</v>
      </c>
    </row>
    <row r="592" spans="1:14" x14ac:dyDescent="0.45">
      <c r="A592">
        <v>591</v>
      </c>
      <c r="B592">
        <v>223</v>
      </c>
      <c r="C592" t="s">
        <v>72</v>
      </c>
      <c r="D592" t="s">
        <v>501</v>
      </c>
      <c r="E592">
        <v>1000</v>
      </c>
      <c r="F592" t="s">
        <v>77</v>
      </c>
      <c r="G592" t="s">
        <v>78</v>
      </c>
      <c r="H592" t="s">
        <v>218</v>
      </c>
      <c r="I592">
        <v>96535.07</v>
      </c>
      <c r="J592">
        <v>0</v>
      </c>
      <c r="K592" t="s">
        <v>502</v>
      </c>
      <c r="L592" t="s">
        <v>223</v>
      </c>
      <c r="N592" t="s">
        <v>189</v>
      </c>
    </row>
    <row r="593" spans="1:14" x14ac:dyDescent="0.45">
      <c r="A593">
        <v>592</v>
      </c>
      <c r="B593">
        <v>223</v>
      </c>
      <c r="C593" t="s">
        <v>72</v>
      </c>
      <c r="D593" t="s">
        <v>501</v>
      </c>
      <c r="E593">
        <v>1100</v>
      </c>
      <c r="F593" t="s">
        <v>80</v>
      </c>
      <c r="G593" t="s">
        <v>78</v>
      </c>
      <c r="H593" t="s">
        <v>218</v>
      </c>
      <c r="I593">
        <v>0</v>
      </c>
      <c r="J593">
        <v>96535.07</v>
      </c>
      <c r="K593" t="s">
        <v>502</v>
      </c>
      <c r="L593" t="s">
        <v>223</v>
      </c>
      <c r="N593" t="s">
        <v>189</v>
      </c>
    </row>
    <row r="594" spans="1:14" x14ac:dyDescent="0.45">
      <c r="A594">
        <v>593</v>
      </c>
      <c r="B594">
        <v>224</v>
      </c>
      <c r="C594" t="s">
        <v>72</v>
      </c>
      <c r="D594" t="s">
        <v>503</v>
      </c>
      <c r="E594">
        <v>5010</v>
      </c>
      <c r="F594" t="s">
        <v>112</v>
      </c>
      <c r="G594" t="s">
        <v>110</v>
      </c>
      <c r="H594" t="s">
        <v>218</v>
      </c>
      <c r="I594">
        <v>5725.93</v>
      </c>
      <c r="J594">
        <v>0</v>
      </c>
      <c r="K594" t="s">
        <v>504</v>
      </c>
      <c r="L594" t="s">
        <v>226</v>
      </c>
      <c r="N594" t="s">
        <v>189</v>
      </c>
    </row>
    <row r="595" spans="1:14" x14ac:dyDescent="0.45">
      <c r="A595">
        <v>594</v>
      </c>
      <c r="B595">
        <v>224</v>
      </c>
      <c r="C595" t="s">
        <v>72</v>
      </c>
      <c r="D595" t="s">
        <v>503</v>
      </c>
      <c r="E595">
        <v>5020</v>
      </c>
      <c r="F595" t="s">
        <v>114</v>
      </c>
      <c r="G595" t="s">
        <v>110</v>
      </c>
      <c r="H595" t="s">
        <v>218</v>
      </c>
      <c r="I595">
        <v>4684.8599999999997</v>
      </c>
      <c r="J595">
        <v>0</v>
      </c>
      <c r="K595" t="s">
        <v>504</v>
      </c>
      <c r="L595" t="s">
        <v>226</v>
      </c>
      <c r="N595" t="s">
        <v>189</v>
      </c>
    </row>
    <row r="596" spans="1:14" x14ac:dyDescent="0.45">
      <c r="A596">
        <v>595</v>
      </c>
      <c r="B596">
        <v>224</v>
      </c>
      <c r="C596" t="s">
        <v>72</v>
      </c>
      <c r="D596" t="s">
        <v>503</v>
      </c>
      <c r="E596">
        <v>1000</v>
      </c>
      <c r="F596" t="s">
        <v>77</v>
      </c>
      <c r="G596" t="s">
        <v>78</v>
      </c>
      <c r="H596" t="s">
        <v>218</v>
      </c>
      <c r="I596">
        <v>0</v>
      </c>
      <c r="J596">
        <v>7287.55</v>
      </c>
      <c r="K596" t="s">
        <v>504</v>
      </c>
      <c r="L596" t="s">
        <v>226</v>
      </c>
      <c r="N596" t="s">
        <v>189</v>
      </c>
    </row>
    <row r="597" spans="1:14" x14ac:dyDescent="0.45">
      <c r="A597">
        <v>596</v>
      </c>
      <c r="B597">
        <v>224</v>
      </c>
      <c r="C597" t="s">
        <v>72</v>
      </c>
      <c r="D597" t="s">
        <v>503</v>
      </c>
      <c r="E597">
        <v>2000</v>
      </c>
      <c r="F597" t="s">
        <v>88</v>
      </c>
      <c r="G597" t="s">
        <v>89</v>
      </c>
      <c r="H597" t="s">
        <v>218</v>
      </c>
      <c r="I597">
        <v>0</v>
      </c>
      <c r="J597">
        <v>3123.24</v>
      </c>
      <c r="K597" t="s">
        <v>504</v>
      </c>
      <c r="L597" t="s">
        <v>226</v>
      </c>
      <c r="N597" t="s">
        <v>189</v>
      </c>
    </row>
    <row r="598" spans="1:14" x14ac:dyDescent="0.45">
      <c r="A598">
        <v>597</v>
      </c>
      <c r="B598">
        <v>225</v>
      </c>
      <c r="C598" t="s">
        <v>72</v>
      </c>
      <c r="D598" t="s">
        <v>505</v>
      </c>
      <c r="E598">
        <v>6010</v>
      </c>
      <c r="F598" t="s">
        <v>119</v>
      </c>
      <c r="G598" t="s">
        <v>117</v>
      </c>
      <c r="H598" t="s">
        <v>218</v>
      </c>
      <c r="I598">
        <v>43952</v>
      </c>
      <c r="J598">
        <v>0</v>
      </c>
      <c r="K598" t="s">
        <v>506</v>
      </c>
      <c r="L598" t="s">
        <v>229</v>
      </c>
      <c r="N598" t="s">
        <v>189</v>
      </c>
    </row>
    <row r="599" spans="1:14" x14ac:dyDescent="0.45">
      <c r="A599">
        <v>598</v>
      </c>
      <c r="B599">
        <v>225</v>
      </c>
      <c r="C599" t="s">
        <v>72</v>
      </c>
      <c r="D599" t="s">
        <v>505</v>
      </c>
      <c r="E599">
        <v>6020</v>
      </c>
      <c r="F599" t="s">
        <v>121</v>
      </c>
      <c r="G599" t="s">
        <v>117</v>
      </c>
      <c r="H599" t="s">
        <v>218</v>
      </c>
      <c r="I599">
        <v>6153.28</v>
      </c>
      <c r="J599">
        <v>0</v>
      </c>
      <c r="K599" t="s">
        <v>506</v>
      </c>
      <c r="L599" t="s">
        <v>229</v>
      </c>
      <c r="N599" t="s">
        <v>189</v>
      </c>
    </row>
    <row r="600" spans="1:14" x14ac:dyDescent="0.45">
      <c r="A600">
        <v>599</v>
      </c>
      <c r="B600">
        <v>225</v>
      </c>
      <c r="C600" t="s">
        <v>72</v>
      </c>
      <c r="D600" t="s">
        <v>505</v>
      </c>
      <c r="E600">
        <v>1000</v>
      </c>
      <c r="F600" t="s">
        <v>77</v>
      </c>
      <c r="G600" t="s">
        <v>78</v>
      </c>
      <c r="H600" t="s">
        <v>218</v>
      </c>
      <c r="I600">
        <v>0</v>
      </c>
      <c r="J600">
        <v>50049.19</v>
      </c>
      <c r="K600" t="s">
        <v>506</v>
      </c>
      <c r="L600" t="s">
        <v>229</v>
      </c>
      <c r="N600" t="s">
        <v>189</v>
      </c>
    </row>
    <row r="601" spans="1:14" x14ac:dyDescent="0.45">
      <c r="A601">
        <v>600</v>
      </c>
      <c r="B601">
        <v>225</v>
      </c>
      <c r="C601" t="s">
        <v>72</v>
      </c>
      <c r="D601" t="s">
        <v>505</v>
      </c>
      <c r="E601">
        <v>2100</v>
      </c>
      <c r="F601" t="s">
        <v>91</v>
      </c>
      <c r="G601" t="s">
        <v>89</v>
      </c>
      <c r="H601" t="s">
        <v>218</v>
      </c>
      <c r="I601">
        <v>0</v>
      </c>
      <c r="J601">
        <v>5010.53</v>
      </c>
      <c r="K601" t="s">
        <v>506</v>
      </c>
      <c r="L601" t="s">
        <v>229</v>
      </c>
      <c r="N601" t="s">
        <v>189</v>
      </c>
    </row>
    <row r="602" spans="1:14" x14ac:dyDescent="0.45">
      <c r="A602">
        <v>601</v>
      </c>
      <c r="B602">
        <v>225</v>
      </c>
      <c r="C602" t="s">
        <v>72</v>
      </c>
      <c r="D602" t="s">
        <v>505</v>
      </c>
      <c r="E602">
        <v>2100</v>
      </c>
      <c r="F602" t="s">
        <v>91</v>
      </c>
      <c r="G602" t="s">
        <v>89</v>
      </c>
      <c r="H602" t="s">
        <v>218</v>
      </c>
      <c r="I602">
        <v>4954.4399999999996</v>
      </c>
      <c r="J602">
        <v>0</v>
      </c>
      <c r="K602" t="s">
        <v>506</v>
      </c>
      <c r="L602" t="s">
        <v>229</v>
      </c>
      <c r="N602" t="s">
        <v>189</v>
      </c>
    </row>
    <row r="603" spans="1:14" x14ac:dyDescent="0.45">
      <c r="A603">
        <v>602</v>
      </c>
      <c r="B603">
        <v>226</v>
      </c>
      <c r="C603" t="s">
        <v>72</v>
      </c>
      <c r="D603" t="s">
        <v>507</v>
      </c>
      <c r="E603">
        <v>6030</v>
      </c>
      <c r="F603" t="s">
        <v>123</v>
      </c>
      <c r="G603" t="s">
        <v>117</v>
      </c>
      <c r="H603" t="s">
        <v>218</v>
      </c>
      <c r="I603">
        <v>7004</v>
      </c>
      <c r="J603">
        <v>0</v>
      </c>
      <c r="K603" t="s">
        <v>508</v>
      </c>
      <c r="L603" t="s">
        <v>232</v>
      </c>
      <c r="N603" t="s">
        <v>189</v>
      </c>
    </row>
    <row r="604" spans="1:14" x14ac:dyDescent="0.45">
      <c r="A604">
        <v>603</v>
      </c>
      <c r="B604">
        <v>226</v>
      </c>
      <c r="C604" t="s">
        <v>72</v>
      </c>
      <c r="D604" t="s">
        <v>507</v>
      </c>
      <c r="E604">
        <v>1000</v>
      </c>
      <c r="F604" t="s">
        <v>77</v>
      </c>
      <c r="G604" t="s">
        <v>78</v>
      </c>
      <c r="H604" t="s">
        <v>218</v>
      </c>
      <c r="I604">
        <v>0</v>
      </c>
      <c r="J604">
        <v>7004</v>
      </c>
      <c r="K604" t="s">
        <v>508</v>
      </c>
      <c r="L604" t="s">
        <v>232</v>
      </c>
      <c r="N604" t="s">
        <v>189</v>
      </c>
    </row>
    <row r="605" spans="1:14" x14ac:dyDescent="0.45">
      <c r="A605">
        <v>604</v>
      </c>
      <c r="B605">
        <v>227</v>
      </c>
      <c r="C605" t="s">
        <v>72</v>
      </c>
      <c r="D605" t="s">
        <v>509</v>
      </c>
      <c r="E605">
        <v>6040</v>
      </c>
      <c r="F605" t="s">
        <v>125</v>
      </c>
      <c r="G605" t="s">
        <v>117</v>
      </c>
      <c r="H605" t="s">
        <v>218</v>
      </c>
      <c r="I605">
        <v>3271.26</v>
      </c>
      <c r="J605">
        <v>0</v>
      </c>
      <c r="K605" t="s">
        <v>510</v>
      </c>
      <c r="L605" t="s">
        <v>226</v>
      </c>
      <c r="N605" t="s">
        <v>189</v>
      </c>
    </row>
    <row r="606" spans="1:14" x14ac:dyDescent="0.45">
      <c r="A606">
        <v>605</v>
      </c>
      <c r="B606">
        <v>227</v>
      </c>
      <c r="C606" t="s">
        <v>72</v>
      </c>
      <c r="D606" t="s">
        <v>509</v>
      </c>
      <c r="E606">
        <v>1000</v>
      </c>
      <c r="F606" t="s">
        <v>77</v>
      </c>
      <c r="G606" t="s">
        <v>78</v>
      </c>
      <c r="H606" t="s">
        <v>218</v>
      </c>
      <c r="I606">
        <v>0</v>
      </c>
      <c r="J606">
        <v>2617.0100000000002</v>
      </c>
      <c r="K606" t="s">
        <v>510</v>
      </c>
      <c r="L606" t="s">
        <v>226</v>
      </c>
      <c r="N606" t="s">
        <v>189</v>
      </c>
    </row>
    <row r="607" spans="1:14" x14ac:dyDescent="0.45">
      <c r="A607">
        <v>606</v>
      </c>
      <c r="B607">
        <v>227</v>
      </c>
      <c r="C607" t="s">
        <v>72</v>
      </c>
      <c r="D607" t="s">
        <v>509</v>
      </c>
      <c r="E607">
        <v>2000</v>
      </c>
      <c r="F607" t="s">
        <v>88</v>
      </c>
      <c r="G607" t="s">
        <v>89</v>
      </c>
      <c r="H607" t="s">
        <v>218</v>
      </c>
      <c r="I607">
        <v>0</v>
      </c>
      <c r="J607">
        <v>654.25</v>
      </c>
      <c r="K607" t="s">
        <v>510</v>
      </c>
      <c r="L607" t="s">
        <v>226</v>
      </c>
      <c r="N607" t="s">
        <v>189</v>
      </c>
    </row>
    <row r="608" spans="1:14" x14ac:dyDescent="0.45">
      <c r="A608">
        <v>607</v>
      </c>
      <c r="B608">
        <v>228</v>
      </c>
      <c r="C608" t="s">
        <v>72</v>
      </c>
      <c r="D608" t="s">
        <v>507</v>
      </c>
      <c r="E608">
        <v>6050</v>
      </c>
      <c r="F608" t="s">
        <v>127</v>
      </c>
      <c r="G608" t="s">
        <v>117</v>
      </c>
      <c r="H608" t="s">
        <v>218</v>
      </c>
      <c r="I608">
        <v>1450</v>
      </c>
      <c r="J608">
        <v>0</v>
      </c>
      <c r="K608" t="s">
        <v>511</v>
      </c>
      <c r="L608" t="s">
        <v>236</v>
      </c>
      <c r="N608" t="s">
        <v>189</v>
      </c>
    </row>
    <row r="609" spans="1:14" x14ac:dyDescent="0.45">
      <c r="A609">
        <v>608</v>
      </c>
      <c r="B609">
        <v>228</v>
      </c>
      <c r="C609" t="s">
        <v>72</v>
      </c>
      <c r="D609" t="s">
        <v>507</v>
      </c>
      <c r="E609">
        <v>1200</v>
      </c>
      <c r="F609" t="s">
        <v>82</v>
      </c>
      <c r="G609" t="s">
        <v>78</v>
      </c>
      <c r="H609" t="s">
        <v>218</v>
      </c>
      <c r="I609">
        <v>0</v>
      </c>
      <c r="J609">
        <v>1450</v>
      </c>
      <c r="K609" t="s">
        <v>511</v>
      </c>
      <c r="L609" t="s">
        <v>236</v>
      </c>
      <c r="N609" t="s">
        <v>189</v>
      </c>
    </row>
    <row r="610" spans="1:14" x14ac:dyDescent="0.45">
      <c r="A610">
        <v>609</v>
      </c>
      <c r="B610">
        <v>229</v>
      </c>
      <c r="C610" t="s">
        <v>72</v>
      </c>
      <c r="D610" t="s">
        <v>512</v>
      </c>
      <c r="E610">
        <v>6060</v>
      </c>
      <c r="F610" t="s">
        <v>129</v>
      </c>
      <c r="G610" t="s">
        <v>117</v>
      </c>
      <c r="H610" t="s">
        <v>218</v>
      </c>
      <c r="I610">
        <v>2226</v>
      </c>
      <c r="J610">
        <v>0</v>
      </c>
      <c r="K610" t="s">
        <v>513</v>
      </c>
      <c r="L610" t="s">
        <v>232</v>
      </c>
      <c r="N610" t="s">
        <v>189</v>
      </c>
    </row>
    <row r="611" spans="1:14" x14ac:dyDescent="0.45">
      <c r="A611">
        <v>610</v>
      </c>
      <c r="B611">
        <v>229</v>
      </c>
      <c r="C611" t="s">
        <v>72</v>
      </c>
      <c r="D611" t="s">
        <v>512</v>
      </c>
      <c r="E611">
        <v>1000</v>
      </c>
      <c r="F611" t="s">
        <v>77</v>
      </c>
      <c r="G611" t="s">
        <v>78</v>
      </c>
      <c r="H611" t="s">
        <v>218</v>
      </c>
      <c r="I611">
        <v>0</v>
      </c>
      <c r="J611">
        <v>2226</v>
      </c>
      <c r="K611" t="s">
        <v>513</v>
      </c>
      <c r="L611" t="s">
        <v>232</v>
      </c>
      <c r="N611" t="s">
        <v>189</v>
      </c>
    </row>
    <row r="612" spans="1:14" x14ac:dyDescent="0.45">
      <c r="A612">
        <v>611</v>
      </c>
      <c r="B612">
        <v>230</v>
      </c>
      <c r="C612" t="s">
        <v>72</v>
      </c>
      <c r="D612" t="s">
        <v>514</v>
      </c>
      <c r="E612">
        <v>7000</v>
      </c>
      <c r="F612" t="s">
        <v>133</v>
      </c>
      <c r="G612" t="s">
        <v>117</v>
      </c>
      <c r="H612" t="s">
        <v>218</v>
      </c>
      <c r="I612">
        <v>1100</v>
      </c>
      <c r="J612">
        <v>0</v>
      </c>
      <c r="K612" t="s">
        <v>515</v>
      </c>
      <c r="L612" t="s">
        <v>241</v>
      </c>
      <c r="N612" t="s">
        <v>189</v>
      </c>
    </row>
    <row r="613" spans="1:14" x14ac:dyDescent="0.45">
      <c r="A613">
        <v>612</v>
      </c>
      <c r="B613">
        <v>230</v>
      </c>
      <c r="C613" t="s">
        <v>72</v>
      </c>
      <c r="D613" t="s">
        <v>514</v>
      </c>
      <c r="E613">
        <v>1500</v>
      </c>
      <c r="F613" t="s">
        <v>86</v>
      </c>
      <c r="G613" t="s">
        <v>78</v>
      </c>
      <c r="H613" t="s">
        <v>218</v>
      </c>
      <c r="I613">
        <v>0</v>
      </c>
      <c r="J613">
        <v>1100</v>
      </c>
      <c r="K613" t="s">
        <v>515</v>
      </c>
      <c r="L613" t="s">
        <v>241</v>
      </c>
      <c r="N613" t="s">
        <v>189</v>
      </c>
    </row>
    <row r="614" spans="1:14" x14ac:dyDescent="0.45">
      <c r="A614">
        <v>613</v>
      </c>
      <c r="B614">
        <v>231</v>
      </c>
      <c r="C614" t="s">
        <v>72</v>
      </c>
      <c r="D614" t="s">
        <v>516</v>
      </c>
      <c r="E614">
        <v>2000</v>
      </c>
      <c r="F614" t="s">
        <v>88</v>
      </c>
      <c r="G614" t="s">
        <v>89</v>
      </c>
      <c r="H614" t="s">
        <v>218</v>
      </c>
      <c r="I614">
        <v>3882.11</v>
      </c>
      <c r="J614">
        <v>0</v>
      </c>
      <c r="K614" t="s">
        <v>517</v>
      </c>
      <c r="L614" t="s">
        <v>232</v>
      </c>
      <c r="N614" t="s">
        <v>189</v>
      </c>
    </row>
    <row r="615" spans="1:14" x14ac:dyDescent="0.45">
      <c r="A615">
        <v>614</v>
      </c>
      <c r="B615">
        <v>231</v>
      </c>
      <c r="C615" t="s">
        <v>72</v>
      </c>
      <c r="D615" t="s">
        <v>516</v>
      </c>
      <c r="E615">
        <v>1000</v>
      </c>
      <c r="F615" t="s">
        <v>77</v>
      </c>
      <c r="G615" t="s">
        <v>78</v>
      </c>
      <c r="H615" t="s">
        <v>218</v>
      </c>
      <c r="I615">
        <v>0</v>
      </c>
      <c r="J615">
        <v>3882.11</v>
      </c>
      <c r="K615" t="s">
        <v>517</v>
      </c>
      <c r="L615" t="s">
        <v>232</v>
      </c>
      <c r="N615" t="s">
        <v>189</v>
      </c>
    </row>
    <row r="616" spans="1:14" x14ac:dyDescent="0.45">
      <c r="A616">
        <v>615</v>
      </c>
      <c r="B616">
        <v>232</v>
      </c>
      <c r="C616" t="s">
        <v>73</v>
      </c>
      <c r="D616" t="s">
        <v>499</v>
      </c>
      <c r="E616">
        <v>1100</v>
      </c>
      <c r="F616" t="s">
        <v>80</v>
      </c>
      <c r="G616" t="s">
        <v>78</v>
      </c>
      <c r="H616" t="s">
        <v>218</v>
      </c>
      <c r="I616">
        <v>57150.03</v>
      </c>
      <c r="J616">
        <v>0</v>
      </c>
      <c r="K616" t="s">
        <v>518</v>
      </c>
      <c r="L616" t="s">
        <v>220</v>
      </c>
      <c r="N616" t="s">
        <v>189</v>
      </c>
    </row>
    <row r="617" spans="1:14" x14ac:dyDescent="0.45">
      <c r="A617">
        <v>616</v>
      </c>
      <c r="B617">
        <v>232</v>
      </c>
      <c r="C617" t="s">
        <v>73</v>
      </c>
      <c r="D617" t="s">
        <v>499</v>
      </c>
      <c r="E617">
        <v>4010</v>
      </c>
      <c r="F617" t="s">
        <v>101</v>
      </c>
      <c r="G617" t="s">
        <v>99</v>
      </c>
      <c r="H617" t="s">
        <v>218</v>
      </c>
      <c r="I617">
        <v>0</v>
      </c>
      <c r="J617">
        <v>24003.01</v>
      </c>
      <c r="K617" t="s">
        <v>518</v>
      </c>
      <c r="L617" t="s">
        <v>220</v>
      </c>
      <c r="N617" t="s">
        <v>189</v>
      </c>
    </row>
    <row r="618" spans="1:14" x14ac:dyDescent="0.45">
      <c r="A618">
        <v>617</v>
      </c>
      <c r="B618">
        <v>232</v>
      </c>
      <c r="C618" t="s">
        <v>73</v>
      </c>
      <c r="D618" t="s">
        <v>499</v>
      </c>
      <c r="E618">
        <v>4020</v>
      </c>
      <c r="F618" t="s">
        <v>103</v>
      </c>
      <c r="G618" t="s">
        <v>99</v>
      </c>
      <c r="H618" t="s">
        <v>218</v>
      </c>
      <c r="I618">
        <v>0</v>
      </c>
      <c r="J618">
        <v>18859.509999999998</v>
      </c>
      <c r="K618" t="s">
        <v>518</v>
      </c>
      <c r="L618" t="s">
        <v>220</v>
      </c>
      <c r="N618" t="s">
        <v>189</v>
      </c>
    </row>
    <row r="619" spans="1:14" x14ac:dyDescent="0.45">
      <c r="A619">
        <v>618</v>
      </c>
      <c r="B619">
        <v>232</v>
      </c>
      <c r="C619" t="s">
        <v>73</v>
      </c>
      <c r="D619" t="s">
        <v>499</v>
      </c>
      <c r="E619">
        <v>4030</v>
      </c>
      <c r="F619" t="s">
        <v>105</v>
      </c>
      <c r="G619" t="s">
        <v>99</v>
      </c>
      <c r="H619" t="s">
        <v>218</v>
      </c>
      <c r="I619">
        <v>0</v>
      </c>
      <c r="J619">
        <v>14287.51</v>
      </c>
      <c r="K619" t="s">
        <v>518</v>
      </c>
      <c r="L619" t="s">
        <v>220</v>
      </c>
      <c r="N619" t="s">
        <v>189</v>
      </c>
    </row>
    <row r="620" spans="1:14" x14ac:dyDescent="0.45">
      <c r="A620">
        <v>619</v>
      </c>
      <c r="B620">
        <v>233</v>
      </c>
      <c r="C620" t="s">
        <v>73</v>
      </c>
      <c r="D620" t="s">
        <v>501</v>
      </c>
      <c r="E620">
        <v>1000</v>
      </c>
      <c r="F620" t="s">
        <v>77</v>
      </c>
      <c r="G620" t="s">
        <v>78</v>
      </c>
      <c r="H620" t="s">
        <v>218</v>
      </c>
      <c r="I620">
        <v>53012.53</v>
      </c>
      <c r="J620">
        <v>0</v>
      </c>
      <c r="K620" t="s">
        <v>519</v>
      </c>
      <c r="L620" t="s">
        <v>223</v>
      </c>
      <c r="N620" t="s">
        <v>189</v>
      </c>
    </row>
    <row r="621" spans="1:14" x14ac:dyDescent="0.45">
      <c r="A621">
        <v>620</v>
      </c>
      <c r="B621">
        <v>233</v>
      </c>
      <c r="C621" t="s">
        <v>73</v>
      </c>
      <c r="D621" t="s">
        <v>501</v>
      </c>
      <c r="E621">
        <v>1100</v>
      </c>
      <c r="F621" t="s">
        <v>80</v>
      </c>
      <c r="G621" t="s">
        <v>78</v>
      </c>
      <c r="H621" t="s">
        <v>218</v>
      </c>
      <c r="I621">
        <v>0</v>
      </c>
      <c r="J621">
        <v>53012.53</v>
      </c>
      <c r="K621" t="s">
        <v>519</v>
      </c>
      <c r="L621" t="s">
        <v>223</v>
      </c>
      <c r="N621" t="s">
        <v>189</v>
      </c>
    </row>
    <row r="622" spans="1:14" x14ac:dyDescent="0.45">
      <c r="A622">
        <v>621</v>
      </c>
      <c r="B622">
        <v>234</v>
      </c>
      <c r="C622" t="s">
        <v>73</v>
      </c>
      <c r="D622" t="s">
        <v>503</v>
      </c>
      <c r="E622">
        <v>5010</v>
      </c>
      <c r="F622" t="s">
        <v>112</v>
      </c>
      <c r="G622" t="s">
        <v>110</v>
      </c>
      <c r="H622" t="s">
        <v>218</v>
      </c>
      <c r="I622">
        <v>3245.75</v>
      </c>
      <c r="J622">
        <v>0</v>
      </c>
      <c r="K622" t="s">
        <v>520</v>
      </c>
      <c r="L622" t="s">
        <v>226</v>
      </c>
      <c r="N622" t="s">
        <v>189</v>
      </c>
    </row>
    <row r="623" spans="1:14" x14ac:dyDescent="0.45">
      <c r="A623">
        <v>622</v>
      </c>
      <c r="B623">
        <v>234</v>
      </c>
      <c r="C623" t="s">
        <v>73</v>
      </c>
      <c r="D623" t="s">
        <v>503</v>
      </c>
      <c r="E623">
        <v>5020</v>
      </c>
      <c r="F623" t="s">
        <v>114</v>
      </c>
      <c r="G623" t="s">
        <v>110</v>
      </c>
      <c r="H623" t="s">
        <v>218</v>
      </c>
      <c r="I623">
        <v>2655.61</v>
      </c>
      <c r="J623">
        <v>0</v>
      </c>
      <c r="K623" t="s">
        <v>520</v>
      </c>
      <c r="L623" t="s">
        <v>226</v>
      </c>
      <c r="N623" t="s">
        <v>189</v>
      </c>
    </row>
    <row r="624" spans="1:14" x14ac:dyDescent="0.45">
      <c r="A624">
        <v>623</v>
      </c>
      <c r="B624">
        <v>234</v>
      </c>
      <c r="C624" t="s">
        <v>73</v>
      </c>
      <c r="D624" t="s">
        <v>503</v>
      </c>
      <c r="E624">
        <v>1000</v>
      </c>
      <c r="F624" t="s">
        <v>77</v>
      </c>
      <c r="G624" t="s">
        <v>78</v>
      </c>
      <c r="H624" t="s">
        <v>218</v>
      </c>
      <c r="I624">
        <v>0</v>
      </c>
      <c r="J624">
        <v>4130.95</v>
      </c>
      <c r="K624" t="s">
        <v>520</v>
      </c>
      <c r="L624" t="s">
        <v>226</v>
      </c>
      <c r="N624" t="s">
        <v>189</v>
      </c>
    </row>
    <row r="625" spans="1:14" x14ac:dyDescent="0.45">
      <c r="A625">
        <v>624</v>
      </c>
      <c r="B625">
        <v>234</v>
      </c>
      <c r="C625" t="s">
        <v>73</v>
      </c>
      <c r="D625" t="s">
        <v>503</v>
      </c>
      <c r="E625">
        <v>2000</v>
      </c>
      <c r="F625" t="s">
        <v>88</v>
      </c>
      <c r="G625" t="s">
        <v>89</v>
      </c>
      <c r="H625" t="s">
        <v>218</v>
      </c>
      <c r="I625">
        <v>0</v>
      </c>
      <c r="J625">
        <v>1770.41</v>
      </c>
      <c r="K625" t="s">
        <v>520</v>
      </c>
      <c r="L625" t="s">
        <v>226</v>
      </c>
      <c r="N625" t="s">
        <v>189</v>
      </c>
    </row>
    <row r="626" spans="1:14" x14ac:dyDescent="0.45">
      <c r="A626">
        <v>625</v>
      </c>
      <c r="B626">
        <v>235</v>
      </c>
      <c r="C626" t="s">
        <v>73</v>
      </c>
      <c r="D626" t="s">
        <v>505</v>
      </c>
      <c r="E626">
        <v>6010</v>
      </c>
      <c r="F626" t="s">
        <v>119</v>
      </c>
      <c r="G626" t="s">
        <v>117</v>
      </c>
      <c r="H626" t="s">
        <v>218</v>
      </c>
      <c r="I626">
        <v>27250.240000000002</v>
      </c>
      <c r="J626">
        <v>0</v>
      </c>
      <c r="K626" t="s">
        <v>521</v>
      </c>
      <c r="L626" t="s">
        <v>229</v>
      </c>
      <c r="N626" t="s">
        <v>189</v>
      </c>
    </row>
    <row r="627" spans="1:14" x14ac:dyDescent="0.45">
      <c r="A627">
        <v>626</v>
      </c>
      <c r="B627">
        <v>235</v>
      </c>
      <c r="C627" t="s">
        <v>73</v>
      </c>
      <c r="D627" t="s">
        <v>505</v>
      </c>
      <c r="E627">
        <v>6020</v>
      </c>
      <c r="F627" t="s">
        <v>121</v>
      </c>
      <c r="G627" t="s">
        <v>117</v>
      </c>
      <c r="H627" t="s">
        <v>218</v>
      </c>
      <c r="I627">
        <v>3815.03</v>
      </c>
      <c r="J627">
        <v>0</v>
      </c>
      <c r="K627" t="s">
        <v>521</v>
      </c>
      <c r="L627" t="s">
        <v>229</v>
      </c>
      <c r="N627" t="s">
        <v>189</v>
      </c>
    </row>
    <row r="628" spans="1:14" x14ac:dyDescent="0.45">
      <c r="A628">
        <v>627</v>
      </c>
      <c r="B628">
        <v>235</v>
      </c>
      <c r="C628" t="s">
        <v>73</v>
      </c>
      <c r="D628" t="s">
        <v>505</v>
      </c>
      <c r="E628">
        <v>1000</v>
      </c>
      <c r="F628" t="s">
        <v>77</v>
      </c>
      <c r="G628" t="s">
        <v>78</v>
      </c>
      <c r="H628" t="s">
        <v>218</v>
      </c>
      <c r="I628">
        <v>0</v>
      </c>
      <c r="J628">
        <v>31030.49</v>
      </c>
      <c r="K628" t="s">
        <v>521</v>
      </c>
      <c r="L628" t="s">
        <v>229</v>
      </c>
      <c r="N628" t="s">
        <v>189</v>
      </c>
    </row>
    <row r="629" spans="1:14" x14ac:dyDescent="0.45">
      <c r="A629">
        <v>628</v>
      </c>
      <c r="B629">
        <v>235</v>
      </c>
      <c r="C629" t="s">
        <v>73</v>
      </c>
      <c r="D629" t="s">
        <v>505</v>
      </c>
      <c r="E629">
        <v>2100</v>
      </c>
      <c r="F629" t="s">
        <v>91</v>
      </c>
      <c r="G629" t="s">
        <v>89</v>
      </c>
      <c r="H629" t="s">
        <v>218</v>
      </c>
      <c r="I629">
        <v>0</v>
      </c>
      <c r="J629">
        <v>3106.53</v>
      </c>
      <c r="K629" t="s">
        <v>521</v>
      </c>
      <c r="L629" t="s">
        <v>229</v>
      </c>
      <c r="N629" t="s">
        <v>189</v>
      </c>
    </row>
    <row r="630" spans="1:14" x14ac:dyDescent="0.45">
      <c r="A630">
        <v>629</v>
      </c>
      <c r="B630">
        <v>235</v>
      </c>
      <c r="C630" t="s">
        <v>73</v>
      </c>
      <c r="D630" t="s">
        <v>505</v>
      </c>
      <c r="E630">
        <v>2100</v>
      </c>
      <c r="F630" t="s">
        <v>91</v>
      </c>
      <c r="G630" t="s">
        <v>89</v>
      </c>
      <c r="H630" t="s">
        <v>218</v>
      </c>
      <c r="I630">
        <v>3071.75</v>
      </c>
      <c r="J630">
        <v>0</v>
      </c>
      <c r="K630" t="s">
        <v>521</v>
      </c>
      <c r="L630" t="s">
        <v>229</v>
      </c>
      <c r="N630" t="s">
        <v>189</v>
      </c>
    </row>
    <row r="631" spans="1:14" x14ac:dyDescent="0.45">
      <c r="A631">
        <v>630</v>
      </c>
      <c r="B631">
        <v>236</v>
      </c>
      <c r="C631" t="s">
        <v>73</v>
      </c>
      <c r="D631" t="s">
        <v>507</v>
      </c>
      <c r="E631">
        <v>6030</v>
      </c>
      <c r="F631" t="s">
        <v>123</v>
      </c>
      <c r="G631" t="s">
        <v>117</v>
      </c>
      <c r="H631" t="s">
        <v>218</v>
      </c>
      <c r="I631">
        <v>4342.4799999999996</v>
      </c>
      <c r="J631">
        <v>0</v>
      </c>
      <c r="K631" t="s">
        <v>522</v>
      </c>
      <c r="L631" t="s">
        <v>232</v>
      </c>
      <c r="N631" t="s">
        <v>189</v>
      </c>
    </row>
    <row r="632" spans="1:14" x14ac:dyDescent="0.45">
      <c r="A632">
        <v>631</v>
      </c>
      <c r="B632">
        <v>236</v>
      </c>
      <c r="C632" t="s">
        <v>73</v>
      </c>
      <c r="D632" t="s">
        <v>507</v>
      </c>
      <c r="E632">
        <v>1000</v>
      </c>
      <c r="F632" t="s">
        <v>77</v>
      </c>
      <c r="G632" t="s">
        <v>78</v>
      </c>
      <c r="H632" t="s">
        <v>218</v>
      </c>
      <c r="I632">
        <v>0</v>
      </c>
      <c r="J632">
        <v>4342.4799999999996</v>
      </c>
      <c r="K632" t="s">
        <v>522</v>
      </c>
      <c r="L632" t="s">
        <v>232</v>
      </c>
      <c r="N632" t="s">
        <v>189</v>
      </c>
    </row>
    <row r="633" spans="1:14" x14ac:dyDescent="0.45">
      <c r="A633">
        <v>632</v>
      </c>
      <c r="B633">
        <v>237</v>
      </c>
      <c r="C633" t="s">
        <v>73</v>
      </c>
      <c r="D633" t="s">
        <v>509</v>
      </c>
      <c r="E633">
        <v>6040</v>
      </c>
      <c r="F633" t="s">
        <v>125</v>
      </c>
      <c r="G633" t="s">
        <v>117</v>
      </c>
      <c r="H633" t="s">
        <v>218</v>
      </c>
      <c r="I633">
        <v>1854.32</v>
      </c>
      <c r="J633">
        <v>0</v>
      </c>
      <c r="K633" t="s">
        <v>523</v>
      </c>
      <c r="L633" t="s">
        <v>226</v>
      </c>
      <c r="N633" t="s">
        <v>189</v>
      </c>
    </row>
    <row r="634" spans="1:14" x14ac:dyDescent="0.45">
      <c r="A634">
        <v>633</v>
      </c>
      <c r="B634">
        <v>237</v>
      </c>
      <c r="C634" t="s">
        <v>73</v>
      </c>
      <c r="D634" t="s">
        <v>509</v>
      </c>
      <c r="E634">
        <v>1000</v>
      </c>
      <c r="F634" t="s">
        <v>77</v>
      </c>
      <c r="G634" t="s">
        <v>78</v>
      </c>
      <c r="H634" t="s">
        <v>218</v>
      </c>
      <c r="I634">
        <v>0</v>
      </c>
      <c r="J634">
        <v>1483.46</v>
      </c>
      <c r="K634" t="s">
        <v>523</v>
      </c>
      <c r="L634" t="s">
        <v>226</v>
      </c>
      <c r="N634" t="s">
        <v>189</v>
      </c>
    </row>
    <row r="635" spans="1:14" x14ac:dyDescent="0.45">
      <c r="A635">
        <v>634</v>
      </c>
      <c r="B635">
        <v>237</v>
      </c>
      <c r="C635" t="s">
        <v>73</v>
      </c>
      <c r="D635" t="s">
        <v>509</v>
      </c>
      <c r="E635">
        <v>2000</v>
      </c>
      <c r="F635" t="s">
        <v>88</v>
      </c>
      <c r="G635" t="s">
        <v>89</v>
      </c>
      <c r="H635" t="s">
        <v>218</v>
      </c>
      <c r="I635">
        <v>0</v>
      </c>
      <c r="J635">
        <v>370.86</v>
      </c>
      <c r="K635" t="s">
        <v>523</v>
      </c>
      <c r="L635" t="s">
        <v>226</v>
      </c>
      <c r="N635" t="s">
        <v>189</v>
      </c>
    </row>
    <row r="636" spans="1:14" x14ac:dyDescent="0.45">
      <c r="A636">
        <v>635</v>
      </c>
      <c r="B636">
        <v>238</v>
      </c>
      <c r="C636" t="s">
        <v>73</v>
      </c>
      <c r="D636" t="s">
        <v>507</v>
      </c>
      <c r="E636">
        <v>6050</v>
      </c>
      <c r="F636" t="s">
        <v>127</v>
      </c>
      <c r="G636" t="s">
        <v>117</v>
      </c>
      <c r="H636" t="s">
        <v>218</v>
      </c>
      <c r="I636">
        <v>899</v>
      </c>
      <c r="J636">
        <v>0</v>
      </c>
      <c r="K636" t="s">
        <v>524</v>
      </c>
      <c r="L636" t="s">
        <v>236</v>
      </c>
      <c r="N636" t="s">
        <v>189</v>
      </c>
    </row>
    <row r="637" spans="1:14" x14ac:dyDescent="0.45">
      <c r="A637">
        <v>636</v>
      </c>
      <c r="B637">
        <v>238</v>
      </c>
      <c r="C637" t="s">
        <v>73</v>
      </c>
      <c r="D637" t="s">
        <v>507</v>
      </c>
      <c r="E637">
        <v>1200</v>
      </c>
      <c r="F637" t="s">
        <v>82</v>
      </c>
      <c r="G637" t="s">
        <v>78</v>
      </c>
      <c r="H637" t="s">
        <v>218</v>
      </c>
      <c r="I637">
        <v>0</v>
      </c>
      <c r="J637">
        <v>899</v>
      </c>
      <c r="K637" t="s">
        <v>524</v>
      </c>
      <c r="L637" t="s">
        <v>236</v>
      </c>
      <c r="N637" t="s">
        <v>189</v>
      </c>
    </row>
    <row r="638" spans="1:14" x14ac:dyDescent="0.45">
      <c r="A638">
        <v>637</v>
      </c>
      <c r="B638">
        <v>239</v>
      </c>
      <c r="C638" t="s">
        <v>73</v>
      </c>
      <c r="D638" t="s">
        <v>512</v>
      </c>
      <c r="E638">
        <v>6060</v>
      </c>
      <c r="F638" t="s">
        <v>129</v>
      </c>
      <c r="G638" t="s">
        <v>117</v>
      </c>
      <c r="H638" t="s">
        <v>218</v>
      </c>
      <c r="I638">
        <v>1380.12</v>
      </c>
      <c r="J638">
        <v>0</v>
      </c>
      <c r="K638" t="s">
        <v>525</v>
      </c>
      <c r="L638" t="s">
        <v>232</v>
      </c>
      <c r="N638" t="s">
        <v>189</v>
      </c>
    </row>
    <row r="639" spans="1:14" x14ac:dyDescent="0.45">
      <c r="A639">
        <v>638</v>
      </c>
      <c r="B639">
        <v>239</v>
      </c>
      <c r="C639" t="s">
        <v>73</v>
      </c>
      <c r="D639" t="s">
        <v>512</v>
      </c>
      <c r="E639">
        <v>1000</v>
      </c>
      <c r="F639" t="s">
        <v>77</v>
      </c>
      <c r="G639" t="s">
        <v>78</v>
      </c>
      <c r="H639" t="s">
        <v>218</v>
      </c>
      <c r="I639">
        <v>0</v>
      </c>
      <c r="J639">
        <v>1380.12</v>
      </c>
      <c r="K639" t="s">
        <v>525</v>
      </c>
      <c r="L639" t="s">
        <v>232</v>
      </c>
      <c r="N639" t="s">
        <v>189</v>
      </c>
    </row>
    <row r="640" spans="1:14" x14ac:dyDescent="0.45">
      <c r="A640">
        <v>639</v>
      </c>
      <c r="B640">
        <v>240</v>
      </c>
      <c r="C640" t="s">
        <v>73</v>
      </c>
      <c r="D640" t="s">
        <v>514</v>
      </c>
      <c r="E640">
        <v>7000</v>
      </c>
      <c r="F640" t="s">
        <v>133</v>
      </c>
      <c r="G640" t="s">
        <v>117</v>
      </c>
      <c r="H640" t="s">
        <v>218</v>
      </c>
      <c r="I640">
        <v>682</v>
      </c>
      <c r="J640">
        <v>0</v>
      </c>
      <c r="K640" t="s">
        <v>526</v>
      </c>
      <c r="L640" t="s">
        <v>241</v>
      </c>
      <c r="N640" t="s">
        <v>189</v>
      </c>
    </row>
    <row r="641" spans="1:14" x14ac:dyDescent="0.45">
      <c r="A641">
        <v>640</v>
      </c>
      <c r="B641">
        <v>240</v>
      </c>
      <c r="C641" t="s">
        <v>73</v>
      </c>
      <c r="D641" t="s">
        <v>514</v>
      </c>
      <c r="E641">
        <v>1500</v>
      </c>
      <c r="F641" t="s">
        <v>86</v>
      </c>
      <c r="G641" t="s">
        <v>78</v>
      </c>
      <c r="H641" t="s">
        <v>218</v>
      </c>
      <c r="I641">
        <v>0</v>
      </c>
      <c r="J641">
        <v>682</v>
      </c>
      <c r="K641" t="s">
        <v>526</v>
      </c>
      <c r="L641" t="s">
        <v>241</v>
      </c>
      <c r="N641" t="s">
        <v>189</v>
      </c>
    </row>
    <row r="642" spans="1:14" x14ac:dyDescent="0.45">
      <c r="A642">
        <v>641</v>
      </c>
      <c r="B642">
        <v>241</v>
      </c>
      <c r="C642" t="s">
        <v>73</v>
      </c>
      <c r="D642" t="s">
        <v>516</v>
      </c>
      <c r="E642">
        <v>2000</v>
      </c>
      <c r="F642" t="s">
        <v>88</v>
      </c>
      <c r="G642" t="s">
        <v>89</v>
      </c>
      <c r="H642" t="s">
        <v>218</v>
      </c>
      <c r="I642">
        <v>2167.58</v>
      </c>
      <c r="J642">
        <v>0</v>
      </c>
      <c r="K642" t="s">
        <v>527</v>
      </c>
      <c r="L642" t="s">
        <v>232</v>
      </c>
      <c r="N642" t="s">
        <v>189</v>
      </c>
    </row>
    <row r="643" spans="1:14" x14ac:dyDescent="0.45">
      <c r="A643">
        <v>642</v>
      </c>
      <c r="B643">
        <v>241</v>
      </c>
      <c r="C643" t="s">
        <v>73</v>
      </c>
      <c r="D643" t="s">
        <v>516</v>
      </c>
      <c r="E643">
        <v>1000</v>
      </c>
      <c r="F643" t="s">
        <v>77</v>
      </c>
      <c r="G643" t="s">
        <v>78</v>
      </c>
      <c r="H643" t="s">
        <v>218</v>
      </c>
      <c r="I643">
        <v>0</v>
      </c>
      <c r="J643">
        <v>2167.58</v>
      </c>
      <c r="K643" t="s">
        <v>527</v>
      </c>
      <c r="L643" t="s">
        <v>232</v>
      </c>
      <c r="N643" t="s">
        <v>189</v>
      </c>
    </row>
    <row r="644" spans="1:14" x14ac:dyDescent="0.45">
      <c r="A644">
        <v>643</v>
      </c>
      <c r="B644">
        <v>242</v>
      </c>
      <c r="C644" t="s">
        <v>74</v>
      </c>
      <c r="D644" t="s">
        <v>499</v>
      </c>
      <c r="E644">
        <v>1100</v>
      </c>
      <c r="F644" t="s">
        <v>80</v>
      </c>
      <c r="G644" t="s">
        <v>78</v>
      </c>
      <c r="H644" t="s">
        <v>218</v>
      </c>
      <c r="I644">
        <v>53821.7</v>
      </c>
      <c r="J644">
        <v>0</v>
      </c>
      <c r="K644" t="s">
        <v>528</v>
      </c>
      <c r="L644" t="s">
        <v>220</v>
      </c>
      <c r="N644" t="s">
        <v>189</v>
      </c>
    </row>
    <row r="645" spans="1:14" x14ac:dyDescent="0.45">
      <c r="A645">
        <v>644</v>
      </c>
      <c r="B645">
        <v>242</v>
      </c>
      <c r="C645" t="s">
        <v>74</v>
      </c>
      <c r="D645" t="s">
        <v>499</v>
      </c>
      <c r="E645">
        <v>4010</v>
      </c>
      <c r="F645" t="s">
        <v>101</v>
      </c>
      <c r="G645" t="s">
        <v>99</v>
      </c>
      <c r="H645" t="s">
        <v>218</v>
      </c>
      <c r="I645">
        <v>0</v>
      </c>
      <c r="J645">
        <v>22605.11</v>
      </c>
      <c r="K645" t="s">
        <v>528</v>
      </c>
      <c r="L645" t="s">
        <v>220</v>
      </c>
      <c r="N645" t="s">
        <v>189</v>
      </c>
    </row>
    <row r="646" spans="1:14" x14ac:dyDescent="0.45">
      <c r="A646">
        <v>645</v>
      </c>
      <c r="B646">
        <v>242</v>
      </c>
      <c r="C646" t="s">
        <v>74</v>
      </c>
      <c r="D646" t="s">
        <v>499</v>
      </c>
      <c r="E646">
        <v>4020</v>
      </c>
      <c r="F646" t="s">
        <v>103</v>
      </c>
      <c r="G646" t="s">
        <v>99</v>
      </c>
      <c r="H646" t="s">
        <v>218</v>
      </c>
      <c r="I646">
        <v>0</v>
      </c>
      <c r="J646">
        <v>17761.16</v>
      </c>
      <c r="K646" t="s">
        <v>528</v>
      </c>
      <c r="L646" t="s">
        <v>220</v>
      </c>
      <c r="N646" t="s">
        <v>189</v>
      </c>
    </row>
    <row r="647" spans="1:14" x14ac:dyDescent="0.45">
      <c r="A647">
        <v>646</v>
      </c>
      <c r="B647">
        <v>242</v>
      </c>
      <c r="C647" t="s">
        <v>74</v>
      </c>
      <c r="D647" t="s">
        <v>499</v>
      </c>
      <c r="E647">
        <v>4030</v>
      </c>
      <c r="F647" t="s">
        <v>105</v>
      </c>
      <c r="G647" t="s">
        <v>99</v>
      </c>
      <c r="H647" t="s">
        <v>218</v>
      </c>
      <c r="I647">
        <v>0</v>
      </c>
      <c r="J647">
        <v>13455.43</v>
      </c>
      <c r="K647" t="s">
        <v>528</v>
      </c>
      <c r="L647" t="s">
        <v>220</v>
      </c>
      <c r="N647" t="s">
        <v>189</v>
      </c>
    </row>
    <row r="648" spans="1:14" x14ac:dyDescent="0.45">
      <c r="A648">
        <v>647</v>
      </c>
      <c r="B648">
        <v>243</v>
      </c>
      <c r="C648" t="s">
        <v>74</v>
      </c>
      <c r="D648" t="s">
        <v>501</v>
      </c>
      <c r="E648">
        <v>1000</v>
      </c>
      <c r="F648" t="s">
        <v>77</v>
      </c>
      <c r="G648" t="s">
        <v>78</v>
      </c>
      <c r="H648" t="s">
        <v>218</v>
      </c>
      <c r="I648">
        <v>48242.58</v>
      </c>
      <c r="J648">
        <v>0</v>
      </c>
      <c r="K648" t="s">
        <v>529</v>
      </c>
      <c r="L648" t="s">
        <v>223</v>
      </c>
      <c r="N648" t="s">
        <v>189</v>
      </c>
    </row>
    <row r="649" spans="1:14" x14ac:dyDescent="0.45">
      <c r="A649">
        <v>648</v>
      </c>
      <c r="B649">
        <v>243</v>
      </c>
      <c r="C649" t="s">
        <v>74</v>
      </c>
      <c r="D649" t="s">
        <v>501</v>
      </c>
      <c r="E649">
        <v>1100</v>
      </c>
      <c r="F649" t="s">
        <v>80</v>
      </c>
      <c r="G649" t="s">
        <v>78</v>
      </c>
      <c r="H649" t="s">
        <v>218</v>
      </c>
      <c r="I649">
        <v>0</v>
      </c>
      <c r="J649">
        <v>48242.58</v>
      </c>
      <c r="K649" t="s">
        <v>529</v>
      </c>
      <c r="L649" t="s">
        <v>223</v>
      </c>
      <c r="N649" t="s">
        <v>189</v>
      </c>
    </row>
    <row r="650" spans="1:14" x14ac:dyDescent="0.45">
      <c r="A650">
        <v>649</v>
      </c>
      <c r="B650">
        <v>244</v>
      </c>
      <c r="C650" t="s">
        <v>74</v>
      </c>
      <c r="D650" t="s">
        <v>503</v>
      </c>
      <c r="E650">
        <v>5010</v>
      </c>
      <c r="F650" t="s">
        <v>112</v>
      </c>
      <c r="G650" t="s">
        <v>110</v>
      </c>
      <c r="H650" t="s">
        <v>218</v>
      </c>
      <c r="I650">
        <v>3056.72</v>
      </c>
      <c r="J650">
        <v>0</v>
      </c>
      <c r="K650" t="s">
        <v>530</v>
      </c>
      <c r="L650" t="s">
        <v>226</v>
      </c>
      <c r="N650" t="s">
        <v>189</v>
      </c>
    </row>
    <row r="651" spans="1:14" x14ac:dyDescent="0.45">
      <c r="A651">
        <v>650</v>
      </c>
      <c r="B651">
        <v>244</v>
      </c>
      <c r="C651" t="s">
        <v>74</v>
      </c>
      <c r="D651" t="s">
        <v>503</v>
      </c>
      <c r="E651">
        <v>5020</v>
      </c>
      <c r="F651" t="s">
        <v>114</v>
      </c>
      <c r="G651" t="s">
        <v>110</v>
      </c>
      <c r="H651" t="s">
        <v>218</v>
      </c>
      <c r="I651">
        <v>2500.96</v>
      </c>
      <c r="J651">
        <v>0</v>
      </c>
      <c r="K651" t="s">
        <v>530</v>
      </c>
      <c r="L651" t="s">
        <v>226</v>
      </c>
      <c r="N651" t="s">
        <v>189</v>
      </c>
    </row>
    <row r="652" spans="1:14" x14ac:dyDescent="0.45">
      <c r="A652">
        <v>651</v>
      </c>
      <c r="B652">
        <v>244</v>
      </c>
      <c r="C652" t="s">
        <v>74</v>
      </c>
      <c r="D652" t="s">
        <v>503</v>
      </c>
      <c r="E652">
        <v>1000</v>
      </c>
      <c r="F652" t="s">
        <v>77</v>
      </c>
      <c r="G652" t="s">
        <v>78</v>
      </c>
      <c r="H652" t="s">
        <v>218</v>
      </c>
      <c r="I652">
        <v>0</v>
      </c>
      <c r="J652">
        <v>3890.38</v>
      </c>
      <c r="K652" t="s">
        <v>530</v>
      </c>
      <c r="L652" t="s">
        <v>226</v>
      </c>
      <c r="N652" t="s">
        <v>189</v>
      </c>
    </row>
    <row r="653" spans="1:14" x14ac:dyDescent="0.45">
      <c r="A653">
        <v>652</v>
      </c>
      <c r="B653">
        <v>244</v>
      </c>
      <c r="C653" t="s">
        <v>74</v>
      </c>
      <c r="D653" t="s">
        <v>503</v>
      </c>
      <c r="E653">
        <v>2000</v>
      </c>
      <c r="F653" t="s">
        <v>88</v>
      </c>
      <c r="G653" t="s">
        <v>89</v>
      </c>
      <c r="H653" t="s">
        <v>218</v>
      </c>
      <c r="I653">
        <v>0</v>
      </c>
      <c r="J653">
        <v>1667.3</v>
      </c>
      <c r="K653" t="s">
        <v>530</v>
      </c>
      <c r="L653" t="s">
        <v>226</v>
      </c>
      <c r="N653" t="s">
        <v>189</v>
      </c>
    </row>
    <row r="654" spans="1:14" x14ac:dyDescent="0.45">
      <c r="A654">
        <v>653</v>
      </c>
      <c r="B654">
        <v>245</v>
      </c>
      <c r="C654" t="s">
        <v>74</v>
      </c>
      <c r="D654" t="s">
        <v>505</v>
      </c>
      <c r="E654">
        <v>6010</v>
      </c>
      <c r="F654" t="s">
        <v>119</v>
      </c>
      <c r="G654" t="s">
        <v>117</v>
      </c>
      <c r="H654" t="s">
        <v>218</v>
      </c>
      <c r="I654">
        <v>24173.599999999999</v>
      </c>
      <c r="J654">
        <v>0</v>
      </c>
      <c r="K654" t="s">
        <v>531</v>
      </c>
      <c r="L654" t="s">
        <v>229</v>
      </c>
      <c r="N654" t="s">
        <v>189</v>
      </c>
    </row>
    <row r="655" spans="1:14" x14ac:dyDescent="0.45">
      <c r="A655">
        <v>654</v>
      </c>
      <c r="B655">
        <v>245</v>
      </c>
      <c r="C655" t="s">
        <v>74</v>
      </c>
      <c r="D655" t="s">
        <v>505</v>
      </c>
      <c r="E655">
        <v>6020</v>
      </c>
      <c r="F655" t="s">
        <v>121</v>
      </c>
      <c r="G655" t="s">
        <v>117</v>
      </c>
      <c r="H655" t="s">
        <v>218</v>
      </c>
      <c r="I655">
        <v>3384.3</v>
      </c>
      <c r="J655">
        <v>0</v>
      </c>
      <c r="K655" t="s">
        <v>531</v>
      </c>
      <c r="L655" t="s">
        <v>229</v>
      </c>
      <c r="N655" t="s">
        <v>189</v>
      </c>
    </row>
    <row r="656" spans="1:14" x14ac:dyDescent="0.45">
      <c r="A656">
        <v>655</v>
      </c>
      <c r="B656">
        <v>245</v>
      </c>
      <c r="C656" t="s">
        <v>74</v>
      </c>
      <c r="D656" t="s">
        <v>505</v>
      </c>
      <c r="E656">
        <v>1000</v>
      </c>
      <c r="F656" t="s">
        <v>77</v>
      </c>
      <c r="G656" t="s">
        <v>78</v>
      </c>
      <c r="H656" t="s">
        <v>218</v>
      </c>
      <c r="I656">
        <v>0</v>
      </c>
      <c r="J656">
        <v>27527.05</v>
      </c>
      <c r="K656" t="s">
        <v>531</v>
      </c>
      <c r="L656" t="s">
        <v>229</v>
      </c>
      <c r="N656" t="s">
        <v>189</v>
      </c>
    </row>
    <row r="657" spans="1:14" x14ac:dyDescent="0.45">
      <c r="A657">
        <v>656</v>
      </c>
      <c r="B657">
        <v>245</v>
      </c>
      <c r="C657" t="s">
        <v>74</v>
      </c>
      <c r="D657" t="s">
        <v>505</v>
      </c>
      <c r="E657">
        <v>2100</v>
      </c>
      <c r="F657" t="s">
        <v>91</v>
      </c>
      <c r="G657" t="s">
        <v>89</v>
      </c>
      <c r="H657" t="s">
        <v>218</v>
      </c>
      <c r="I657">
        <v>0</v>
      </c>
      <c r="J657">
        <v>2755.79</v>
      </c>
      <c r="K657" t="s">
        <v>531</v>
      </c>
      <c r="L657" t="s">
        <v>229</v>
      </c>
      <c r="N657" t="s">
        <v>189</v>
      </c>
    </row>
    <row r="658" spans="1:14" x14ac:dyDescent="0.45">
      <c r="A658">
        <v>657</v>
      </c>
      <c r="B658">
        <v>245</v>
      </c>
      <c r="C658" t="s">
        <v>74</v>
      </c>
      <c r="D658" t="s">
        <v>505</v>
      </c>
      <c r="E658">
        <v>2100</v>
      </c>
      <c r="F658" t="s">
        <v>91</v>
      </c>
      <c r="G658" t="s">
        <v>89</v>
      </c>
      <c r="H658" t="s">
        <v>218</v>
      </c>
      <c r="I658">
        <v>2724.94</v>
      </c>
      <c r="J658">
        <v>0</v>
      </c>
      <c r="K658" t="s">
        <v>531</v>
      </c>
      <c r="L658" t="s">
        <v>229</v>
      </c>
      <c r="N658" t="s">
        <v>189</v>
      </c>
    </row>
    <row r="659" spans="1:14" x14ac:dyDescent="0.45">
      <c r="A659">
        <v>658</v>
      </c>
      <c r="B659">
        <v>246</v>
      </c>
      <c r="C659" t="s">
        <v>74</v>
      </c>
      <c r="D659" t="s">
        <v>507</v>
      </c>
      <c r="E659">
        <v>6030</v>
      </c>
      <c r="F659" t="s">
        <v>123</v>
      </c>
      <c r="G659" t="s">
        <v>117</v>
      </c>
      <c r="H659" t="s">
        <v>218</v>
      </c>
      <c r="I659">
        <v>3852.2</v>
      </c>
      <c r="J659">
        <v>0</v>
      </c>
      <c r="K659" t="s">
        <v>532</v>
      </c>
      <c r="L659" t="s">
        <v>232</v>
      </c>
      <c r="N659" t="s">
        <v>189</v>
      </c>
    </row>
    <row r="660" spans="1:14" x14ac:dyDescent="0.45">
      <c r="A660">
        <v>659</v>
      </c>
      <c r="B660">
        <v>246</v>
      </c>
      <c r="C660" t="s">
        <v>74</v>
      </c>
      <c r="D660" t="s">
        <v>507</v>
      </c>
      <c r="E660">
        <v>1000</v>
      </c>
      <c r="F660" t="s">
        <v>77</v>
      </c>
      <c r="G660" t="s">
        <v>78</v>
      </c>
      <c r="H660" t="s">
        <v>218</v>
      </c>
      <c r="I660">
        <v>0</v>
      </c>
      <c r="J660">
        <v>3852.2</v>
      </c>
      <c r="K660" t="s">
        <v>532</v>
      </c>
      <c r="L660" t="s">
        <v>232</v>
      </c>
      <c r="N660" t="s">
        <v>189</v>
      </c>
    </row>
    <row r="661" spans="1:14" x14ac:dyDescent="0.45">
      <c r="A661">
        <v>660</v>
      </c>
      <c r="B661">
        <v>247</v>
      </c>
      <c r="C661" t="s">
        <v>74</v>
      </c>
      <c r="D661" t="s">
        <v>509</v>
      </c>
      <c r="E661">
        <v>6040</v>
      </c>
      <c r="F661" t="s">
        <v>125</v>
      </c>
      <c r="G661" t="s">
        <v>117</v>
      </c>
      <c r="H661" t="s">
        <v>218</v>
      </c>
      <c r="I661">
        <v>1746.32</v>
      </c>
      <c r="J661">
        <v>0</v>
      </c>
      <c r="K661" t="s">
        <v>533</v>
      </c>
      <c r="L661" t="s">
        <v>226</v>
      </c>
      <c r="N661" t="s">
        <v>189</v>
      </c>
    </row>
    <row r="662" spans="1:14" x14ac:dyDescent="0.45">
      <c r="A662">
        <v>661</v>
      </c>
      <c r="B662">
        <v>247</v>
      </c>
      <c r="C662" t="s">
        <v>74</v>
      </c>
      <c r="D662" t="s">
        <v>509</v>
      </c>
      <c r="E662">
        <v>1000</v>
      </c>
      <c r="F662" t="s">
        <v>77</v>
      </c>
      <c r="G662" t="s">
        <v>78</v>
      </c>
      <c r="H662" t="s">
        <v>218</v>
      </c>
      <c r="I662">
        <v>0</v>
      </c>
      <c r="J662">
        <v>1397.06</v>
      </c>
      <c r="K662" t="s">
        <v>533</v>
      </c>
      <c r="L662" t="s">
        <v>226</v>
      </c>
      <c r="N662" t="s">
        <v>189</v>
      </c>
    </row>
    <row r="663" spans="1:14" x14ac:dyDescent="0.45">
      <c r="A663">
        <v>662</v>
      </c>
      <c r="B663">
        <v>247</v>
      </c>
      <c r="C663" t="s">
        <v>74</v>
      </c>
      <c r="D663" t="s">
        <v>509</v>
      </c>
      <c r="E663">
        <v>2000</v>
      </c>
      <c r="F663" t="s">
        <v>88</v>
      </c>
      <c r="G663" t="s">
        <v>89</v>
      </c>
      <c r="H663" t="s">
        <v>218</v>
      </c>
      <c r="I663">
        <v>0</v>
      </c>
      <c r="J663">
        <v>349.26</v>
      </c>
      <c r="K663" t="s">
        <v>533</v>
      </c>
      <c r="L663" t="s">
        <v>226</v>
      </c>
      <c r="N663" t="s">
        <v>189</v>
      </c>
    </row>
    <row r="664" spans="1:14" x14ac:dyDescent="0.45">
      <c r="A664">
        <v>663</v>
      </c>
      <c r="B664">
        <v>248</v>
      </c>
      <c r="C664" t="s">
        <v>74</v>
      </c>
      <c r="D664" t="s">
        <v>507</v>
      </c>
      <c r="E664">
        <v>6050</v>
      </c>
      <c r="F664" t="s">
        <v>127</v>
      </c>
      <c r="G664" t="s">
        <v>117</v>
      </c>
      <c r="H664" t="s">
        <v>218</v>
      </c>
      <c r="I664">
        <v>797.5</v>
      </c>
      <c r="J664">
        <v>0</v>
      </c>
      <c r="K664" t="s">
        <v>534</v>
      </c>
      <c r="L664" t="s">
        <v>236</v>
      </c>
      <c r="N664" t="s">
        <v>189</v>
      </c>
    </row>
    <row r="665" spans="1:14" x14ac:dyDescent="0.45">
      <c r="A665">
        <v>664</v>
      </c>
      <c r="B665">
        <v>248</v>
      </c>
      <c r="C665" t="s">
        <v>74</v>
      </c>
      <c r="D665" t="s">
        <v>507</v>
      </c>
      <c r="E665">
        <v>1200</v>
      </c>
      <c r="F665" t="s">
        <v>82</v>
      </c>
      <c r="G665" t="s">
        <v>78</v>
      </c>
      <c r="H665" t="s">
        <v>218</v>
      </c>
      <c r="I665">
        <v>0</v>
      </c>
      <c r="J665">
        <v>797.5</v>
      </c>
      <c r="K665" t="s">
        <v>534</v>
      </c>
      <c r="L665" t="s">
        <v>236</v>
      </c>
      <c r="N665" t="s">
        <v>189</v>
      </c>
    </row>
    <row r="666" spans="1:14" x14ac:dyDescent="0.45">
      <c r="A666">
        <v>665</v>
      </c>
      <c r="B666">
        <v>249</v>
      </c>
      <c r="C666" t="s">
        <v>74</v>
      </c>
      <c r="D666" t="s">
        <v>512</v>
      </c>
      <c r="E666">
        <v>6060</v>
      </c>
      <c r="F666" t="s">
        <v>129</v>
      </c>
      <c r="G666" t="s">
        <v>117</v>
      </c>
      <c r="H666" t="s">
        <v>218</v>
      </c>
      <c r="I666">
        <v>1224.3</v>
      </c>
      <c r="J666">
        <v>0</v>
      </c>
      <c r="K666" t="s">
        <v>535</v>
      </c>
      <c r="L666" t="s">
        <v>232</v>
      </c>
      <c r="N666" t="s">
        <v>189</v>
      </c>
    </row>
    <row r="667" spans="1:14" x14ac:dyDescent="0.45">
      <c r="A667">
        <v>666</v>
      </c>
      <c r="B667">
        <v>249</v>
      </c>
      <c r="C667" t="s">
        <v>74</v>
      </c>
      <c r="D667" t="s">
        <v>512</v>
      </c>
      <c r="E667">
        <v>1000</v>
      </c>
      <c r="F667" t="s">
        <v>77</v>
      </c>
      <c r="G667" t="s">
        <v>78</v>
      </c>
      <c r="H667" t="s">
        <v>218</v>
      </c>
      <c r="I667">
        <v>0</v>
      </c>
      <c r="J667">
        <v>1224.3</v>
      </c>
      <c r="K667" t="s">
        <v>535</v>
      </c>
      <c r="L667" t="s">
        <v>232</v>
      </c>
      <c r="N667" t="s">
        <v>189</v>
      </c>
    </row>
    <row r="668" spans="1:14" x14ac:dyDescent="0.45">
      <c r="A668">
        <v>667</v>
      </c>
      <c r="B668">
        <v>250</v>
      </c>
      <c r="C668" t="s">
        <v>74</v>
      </c>
      <c r="D668" t="s">
        <v>514</v>
      </c>
      <c r="E668">
        <v>7000</v>
      </c>
      <c r="F668" t="s">
        <v>133</v>
      </c>
      <c r="G668" t="s">
        <v>117</v>
      </c>
      <c r="H668" t="s">
        <v>218</v>
      </c>
      <c r="I668">
        <v>605</v>
      </c>
      <c r="J668">
        <v>0</v>
      </c>
      <c r="K668" t="s">
        <v>536</v>
      </c>
      <c r="L668" t="s">
        <v>241</v>
      </c>
      <c r="N668" t="s">
        <v>189</v>
      </c>
    </row>
    <row r="669" spans="1:14" x14ac:dyDescent="0.45">
      <c r="A669">
        <v>668</v>
      </c>
      <c r="B669">
        <v>250</v>
      </c>
      <c r="C669" t="s">
        <v>74</v>
      </c>
      <c r="D669" t="s">
        <v>514</v>
      </c>
      <c r="E669">
        <v>1500</v>
      </c>
      <c r="F669" t="s">
        <v>86</v>
      </c>
      <c r="G669" t="s">
        <v>78</v>
      </c>
      <c r="H669" t="s">
        <v>218</v>
      </c>
      <c r="I669">
        <v>0</v>
      </c>
      <c r="J669">
        <v>605</v>
      </c>
      <c r="K669" t="s">
        <v>536</v>
      </c>
      <c r="L669" t="s">
        <v>241</v>
      </c>
      <c r="N669" t="s">
        <v>189</v>
      </c>
    </row>
    <row r="670" spans="1:14" x14ac:dyDescent="0.45">
      <c r="A670">
        <v>669</v>
      </c>
      <c r="B670">
        <v>251</v>
      </c>
      <c r="C670" t="s">
        <v>74</v>
      </c>
      <c r="D670" t="s">
        <v>516</v>
      </c>
      <c r="E670">
        <v>2000</v>
      </c>
      <c r="F670" t="s">
        <v>88</v>
      </c>
      <c r="G670" t="s">
        <v>89</v>
      </c>
      <c r="H670" t="s">
        <v>218</v>
      </c>
      <c r="I670">
        <v>2027.33</v>
      </c>
      <c r="J670">
        <v>0</v>
      </c>
      <c r="K670" t="s">
        <v>537</v>
      </c>
      <c r="L670" t="s">
        <v>232</v>
      </c>
      <c r="N670" t="s">
        <v>189</v>
      </c>
    </row>
    <row r="671" spans="1:14" x14ac:dyDescent="0.45">
      <c r="A671">
        <v>670</v>
      </c>
      <c r="B671">
        <v>251</v>
      </c>
      <c r="C671" t="s">
        <v>74</v>
      </c>
      <c r="D671" t="s">
        <v>516</v>
      </c>
      <c r="E671">
        <v>1000</v>
      </c>
      <c r="F671" t="s">
        <v>77</v>
      </c>
      <c r="G671" t="s">
        <v>78</v>
      </c>
      <c r="H671" t="s">
        <v>218</v>
      </c>
      <c r="I671">
        <v>0</v>
      </c>
      <c r="J671">
        <v>2027.33</v>
      </c>
      <c r="K671" t="s">
        <v>537</v>
      </c>
      <c r="L671" t="s">
        <v>232</v>
      </c>
      <c r="N671" t="s">
        <v>189</v>
      </c>
    </row>
    <row r="672" spans="1:14" x14ac:dyDescent="0.45">
      <c r="A672">
        <v>671</v>
      </c>
      <c r="B672">
        <v>252</v>
      </c>
      <c r="C672" t="s">
        <v>72</v>
      </c>
      <c r="D672" t="s">
        <v>538</v>
      </c>
      <c r="E672">
        <v>1300</v>
      </c>
      <c r="F672" t="s">
        <v>84</v>
      </c>
      <c r="G672" t="s">
        <v>78</v>
      </c>
      <c r="H672" t="s">
        <v>261</v>
      </c>
      <c r="I672">
        <v>3417.44</v>
      </c>
      <c r="J672">
        <v>0</v>
      </c>
      <c r="K672" t="s">
        <v>539</v>
      </c>
      <c r="L672" t="s">
        <v>263</v>
      </c>
      <c r="M672" t="s">
        <v>73</v>
      </c>
      <c r="N672" t="s">
        <v>189</v>
      </c>
    </row>
    <row r="673" spans="1:14" x14ac:dyDescent="0.45">
      <c r="A673">
        <v>672</v>
      </c>
      <c r="B673">
        <v>252</v>
      </c>
      <c r="C673" t="s">
        <v>72</v>
      </c>
      <c r="D673" t="s">
        <v>538</v>
      </c>
      <c r="E673">
        <v>4090</v>
      </c>
      <c r="F673" t="s">
        <v>107</v>
      </c>
      <c r="G673" t="s">
        <v>99</v>
      </c>
      <c r="H673" t="s">
        <v>261</v>
      </c>
      <c r="I673">
        <v>0</v>
      </c>
      <c r="J673">
        <v>3417.44</v>
      </c>
      <c r="K673" t="s">
        <v>539</v>
      </c>
      <c r="L673" t="s">
        <v>263</v>
      </c>
      <c r="M673" t="s">
        <v>73</v>
      </c>
      <c r="N673" t="s">
        <v>189</v>
      </c>
    </row>
    <row r="674" spans="1:14" x14ac:dyDescent="0.45">
      <c r="A674">
        <v>673</v>
      </c>
      <c r="B674">
        <v>253</v>
      </c>
      <c r="C674" t="s">
        <v>73</v>
      </c>
      <c r="D674" t="s">
        <v>538</v>
      </c>
      <c r="E674">
        <v>6070</v>
      </c>
      <c r="F674" t="s">
        <v>131</v>
      </c>
      <c r="G674" t="s">
        <v>117</v>
      </c>
      <c r="H674" t="s">
        <v>261</v>
      </c>
      <c r="I674">
        <v>3417.44</v>
      </c>
      <c r="J674">
        <v>0</v>
      </c>
      <c r="K674" t="s">
        <v>540</v>
      </c>
      <c r="L674" t="s">
        <v>263</v>
      </c>
      <c r="M674" t="s">
        <v>72</v>
      </c>
      <c r="N674" t="s">
        <v>189</v>
      </c>
    </row>
    <row r="675" spans="1:14" x14ac:dyDescent="0.45">
      <c r="A675">
        <v>674</v>
      </c>
      <c r="B675">
        <v>253</v>
      </c>
      <c r="C675" t="s">
        <v>73</v>
      </c>
      <c r="D675" t="s">
        <v>538</v>
      </c>
      <c r="E675">
        <v>2200</v>
      </c>
      <c r="F675" t="s">
        <v>93</v>
      </c>
      <c r="G675" t="s">
        <v>89</v>
      </c>
      <c r="H675" t="s">
        <v>261</v>
      </c>
      <c r="I675">
        <v>0</v>
      </c>
      <c r="J675">
        <v>3417.44</v>
      </c>
      <c r="K675" t="s">
        <v>540</v>
      </c>
      <c r="L675" t="s">
        <v>263</v>
      </c>
      <c r="M675" t="s">
        <v>72</v>
      </c>
      <c r="N675" t="s">
        <v>189</v>
      </c>
    </row>
    <row r="676" spans="1:14" x14ac:dyDescent="0.45">
      <c r="A676">
        <v>675</v>
      </c>
      <c r="B676">
        <v>254</v>
      </c>
      <c r="C676" t="s">
        <v>73</v>
      </c>
      <c r="D676" t="s">
        <v>541</v>
      </c>
      <c r="E676">
        <v>2200</v>
      </c>
      <c r="F676" t="s">
        <v>93</v>
      </c>
      <c r="G676" t="s">
        <v>89</v>
      </c>
      <c r="H676" t="s">
        <v>261</v>
      </c>
      <c r="I676">
        <v>3385.2</v>
      </c>
      <c r="J676">
        <v>0</v>
      </c>
      <c r="K676" t="s">
        <v>542</v>
      </c>
      <c r="L676" t="s">
        <v>309</v>
      </c>
      <c r="M676" t="s">
        <v>72</v>
      </c>
      <c r="N676" t="s">
        <v>189</v>
      </c>
    </row>
    <row r="677" spans="1:14" x14ac:dyDescent="0.45">
      <c r="A677">
        <v>676</v>
      </c>
      <c r="B677">
        <v>254</v>
      </c>
      <c r="C677" t="s">
        <v>73</v>
      </c>
      <c r="D677" t="s">
        <v>541</v>
      </c>
      <c r="E677">
        <v>1000</v>
      </c>
      <c r="F677" t="s">
        <v>77</v>
      </c>
      <c r="G677" t="s">
        <v>78</v>
      </c>
      <c r="H677" t="s">
        <v>218</v>
      </c>
      <c r="I677">
        <v>0</v>
      </c>
      <c r="J677">
        <v>3385.2</v>
      </c>
      <c r="K677" t="s">
        <v>542</v>
      </c>
      <c r="L677" t="s">
        <v>309</v>
      </c>
      <c r="M677" t="s">
        <v>72</v>
      </c>
      <c r="N677" t="s">
        <v>189</v>
      </c>
    </row>
    <row r="678" spans="1:14" x14ac:dyDescent="0.45">
      <c r="A678">
        <v>677</v>
      </c>
      <c r="B678">
        <v>255</v>
      </c>
      <c r="C678" t="s">
        <v>72</v>
      </c>
      <c r="D678" t="s">
        <v>541</v>
      </c>
      <c r="E678">
        <v>1000</v>
      </c>
      <c r="F678" t="s">
        <v>77</v>
      </c>
      <c r="G678" t="s">
        <v>78</v>
      </c>
      <c r="H678" t="s">
        <v>218</v>
      </c>
      <c r="I678">
        <v>3385.2</v>
      </c>
      <c r="J678">
        <v>0</v>
      </c>
      <c r="K678" t="s">
        <v>543</v>
      </c>
      <c r="L678" t="s">
        <v>309</v>
      </c>
      <c r="M678" t="s">
        <v>73</v>
      </c>
      <c r="N678" t="s">
        <v>189</v>
      </c>
    </row>
    <row r="679" spans="1:14" x14ac:dyDescent="0.45">
      <c r="A679">
        <v>678</v>
      </c>
      <c r="B679">
        <v>255</v>
      </c>
      <c r="C679" t="s">
        <v>72</v>
      </c>
      <c r="D679" t="s">
        <v>541</v>
      </c>
      <c r="E679">
        <v>1300</v>
      </c>
      <c r="F679" t="s">
        <v>84</v>
      </c>
      <c r="G679" t="s">
        <v>78</v>
      </c>
      <c r="H679" t="s">
        <v>261</v>
      </c>
      <c r="I679">
        <v>0</v>
      </c>
      <c r="J679">
        <v>3385.2</v>
      </c>
      <c r="K679" t="s">
        <v>543</v>
      </c>
      <c r="L679" t="s">
        <v>309</v>
      </c>
      <c r="M679" t="s">
        <v>73</v>
      </c>
      <c r="N679" t="s">
        <v>189</v>
      </c>
    </row>
    <row r="680" spans="1:14" x14ac:dyDescent="0.45">
      <c r="A680">
        <v>679</v>
      </c>
      <c r="B680">
        <v>256</v>
      </c>
      <c r="C680" t="s">
        <v>72</v>
      </c>
      <c r="D680" t="s">
        <v>538</v>
      </c>
      <c r="E680">
        <v>1300</v>
      </c>
      <c r="F680" t="s">
        <v>84</v>
      </c>
      <c r="G680" t="s">
        <v>78</v>
      </c>
      <c r="H680" t="s">
        <v>261</v>
      </c>
      <c r="I680">
        <v>3031.6</v>
      </c>
      <c r="J680">
        <v>0</v>
      </c>
      <c r="K680" t="s">
        <v>544</v>
      </c>
      <c r="L680" t="s">
        <v>263</v>
      </c>
      <c r="M680" t="s">
        <v>74</v>
      </c>
      <c r="N680" t="s">
        <v>189</v>
      </c>
    </row>
    <row r="681" spans="1:14" x14ac:dyDescent="0.45">
      <c r="A681">
        <v>680</v>
      </c>
      <c r="B681">
        <v>256</v>
      </c>
      <c r="C681" t="s">
        <v>72</v>
      </c>
      <c r="D681" t="s">
        <v>538</v>
      </c>
      <c r="E681">
        <v>4090</v>
      </c>
      <c r="F681" t="s">
        <v>107</v>
      </c>
      <c r="G681" t="s">
        <v>99</v>
      </c>
      <c r="H681" t="s">
        <v>261</v>
      </c>
      <c r="I681">
        <v>0</v>
      </c>
      <c r="J681">
        <v>3031.6</v>
      </c>
      <c r="K681" t="s">
        <v>544</v>
      </c>
      <c r="L681" t="s">
        <v>263</v>
      </c>
      <c r="M681" t="s">
        <v>74</v>
      </c>
      <c r="N681" t="s">
        <v>189</v>
      </c>
    </row>
    <row r="682" spans="1:14" x14ac:dyDescent="0.45">
      <c r="A682">
        <v>681</v>
      </c>
      <c r="B682">
        <v>257</v>
      </c>
      <c r="C682" t="s">
        <v>74</v>
      </c>
      <c r="D682" t="s">
        <v>538</v>
      </c>
      <c r="E682">
        <v>6070</v>
      </c>
      <c r="F682" t="s">
        <v>131</v>
      </c>
      <c r="G682" t="s">
        <v>117</v>
      </c>
      <c r="H682" t="s">
        <v>261</v>
      </c>
      <c r="I682">
        <v>3031.6</v>
      </c>
      <c r="J682">
        <v>0</v>
      </c>
      <c r="K682" t="s">
        <v>540</v>
      </c>
      <c r="L682" t="s">
        <v>263</v>
      </c>
      <c r="M682" t="s">
        <v>72</v>
      </c>
      <c r="N682" t="s">
        <v>189</v>
      </c>
    </row>
    <row r="683" spans="1:14" x14ac:dyDescent="0.45">
      <c r="A683">
        <v>682</v>
      </c>
      <c r="B683">
        <v>257</v>
      </c>
      <c r="C683" t="s">
        <v>74</v>
      </c>
      <c r="D683" t="s">
        <v>538</v>
      </c>
      <c r="E683">
        <v>2200</v>
      </c>
      <c r="F683" t="s">
        <v>93</v>
      </c>
      <c r="G683" t="s">
        <v>89</v>
      </c>
      <c r="H683" t="s">
        <v>261</v>
      </c>
      <c r="I683">
        <v>0</v>
      </c>
      <c r="J683">
        <v>3031.6</v>
      </c>
      <c r="K683" t="s">
        <v>540</v>
      </c>
      <c r="L683" t="s">
        <v>263</v>
      </c>
      <c r="M683" t="s">
        <v>72</v>
      </c>
      <c r="N683" t="s">
        <v>189</v>
      </c>
    </row>
    <row r="684" spans="1:14" x14ac:dyDescent="0.45">
      <c r="A684">
        <v>683</v>
      </c>
      <c r="B684">
        <v>258</v>
      </c>
      <c r="C684" t="s">
        <v>74</v>
      </c>
      <c r="D684" t="s">
        <v>541</v>
      </c>
      <c r="E684">
        <v>2200</v>
      </c>
      <c r="F684" t="s">
        <v>93</v>
      </c>
      <c r="G684" t="s">
        <v>89</v>
      </c>
      <c r="H684" t="s">
        <v>261</v>
      </c>
      <c r="I684">
        <v>3003</v>
      </c>
      <c r="J684">
        <v>0</v>
      </c>
      <c r="K684" t="s">
        <v>542</v>
      </c>
      <c r="L684" t="s">
        <v>309</v>
      </c>
      <c r="M684" t="s">
        <v>72</v>
      </c>
      <c r="N684" t="s">
        <v>189</v>
      </c>
    </row>
    <row r="685" spans="1:14" x14ac:dyDescent="0.45">
      <c r="A685">
        <v>684</v>
      </c>
      <c r="B685">
        <v>258</v>
      </c>
      <c r="C685" t="s">
        <v>74</v>
      </c>
      <c r="D685" t="s">
        <v>541</v>
      </c>
      <c r="E685">
        <v>1000</v>
      </c>
      <c r="F685" t="s">
        <v>77</v>
      </c>
      <c r="G685" t="s">
        <v>78</v>
      </c>
      <c r="H685" t="s">
        <v>218</v>
      </c>
      <c r="I685">
        <v>0</v>
      </c>
      <c r="J685">
        <v>3003</v>
      </c>
      <c r="K685" t="s">
        <v>542</v>
      </c>
      <c r="L685" t="s">
        <v>309</v>
      </c>
      <c r="M685" t="s">
        <v>72</v>
      </c>
      <c r="N685" t="s">
        <v>189</v>
      </c>
    </row>
    <row r="686" spans="1:14" x14ac:dyDescent="0.45">
      <c r="A686">
        <v>685</v>
      </c>
      <c r="B686">
        <v>259</v>
      </c>
      <c r="C686" t="s">
        <v>72</v>
      </c>
      <c r="D686" t="s">
        <v>541</v>
      </c>
      <c r="E686">
        <v>1000</v>
      </c>
      <c r="F686" t="s">
        <v>77</v>
      </c>
      <c r="G686" t="s">
        <v>78</v>
      </c>
      <c r="H686" t="s">
        <v>218</v>
      </c>
      <c r="I686">
        <v>3003</v>
      </c>
      <c r="J686">
        <v>0</v>
      </c>
      <c r="K686" t="s">
        <v>545</v>
      </c>
      <c r="L686" t="s">
        <v>309</v>
      </c>
      <c r="M686" t="s">
        <v>74</v>
      </c>
      <c r="N686" t="s">
        <v>189</v>
      </c>
    </row>
    <row r="687" spans="1:14" x14ac:dyDescent="0.45">
      <c r="A687">
        <v>686</v>
      </c>
      <c r="B687">
        <v>259</v>
      </c>
      <c r="C687" t="s">
        <v>72</v>
      </c>
      <c r="D687" t="s">
        <v>541</v>
      </c>
      <c r="E687">
        <v>1300</v>
      </c>
      <c r="F687" t="s">
        <v>84</v>
      </c>
      <c r="G687" t="s">
        <v>78</v>
      </c>
      <c r="H687" t="s">
        <v>261</v>
      </c>
      <c r="I687">
        <v>0</v>
      </c>
      <c r="J687">
        <v>3003</v>
      </c>
      <c r="K687" t="s">
        <v>545</v>
      </c>
      <c r="L687" t="s">
        <v>309</v>
      </c>
      <c r="M687" t="s">
        <v>74</v>
      </c>
      <c r="N687" t="s">
        <v>189</v>
      </c>
    </row>
    <row r="688" spans="1:14" x14ac:dyDescent="0.45">
      <c r="A688">
        <v>687</v>
      </c>
      <c r="B688">
        <v>260</v>
      </c>
      <c r="C688" t="s">
        <v>72</v>
      </c>
      <c r="D688" t="s">
        <v>546</v>
      </c>
      <c r="E688">
        <v>1100</v>
      </c>
      <c r="F688" t="s">
        <v>80</v>
      </c>
      <c r="G688" t="s">
        <v>78</v>
      </c>
      <c r="H688" t="s">
        <v>218</v>
      </c>
      <c r="I688">
        <v>91346.81</v>
      </c>
      <c r="J688">
        <v>0</v>
      </c>
      <c r="K688" t="s">
        <v>547</v>
      </c>
      <c r="L688" t="s">
        <v>220</v>
      </c>
      <c r="N688" t="s">
        <v>190</v>
      </c>
    </row>
    <row r="689" spans="1:14" x14ac:dyDescent="0.45">
      <c r="A689">
        <v>688</v>
      </c>
      <c r="B689">
        <v>260</v>
      </c>
      <c r="C689" t="s">
        <v>72</v>
      </c>
      <c r="D689" t="s">
        <v>546</v>
      </c>
      <c r="E689">
        <v>4010</v>
      </c>
      <c r="F689" t="s">
        <v>101</v>
      </c>
      <c r="G689" t="s">
        <v>99</v>
      </c>
      <c r="H689" t="s">
        <v>218</v>
      </c>
      <c r="I689">
        <v>0</v>
      </c>
      <c r="J689">
        <v>38365.660000000003</v>
      </c>
      <c r="K689" t="s">
        <v>547</v>
      </c>
      <c r="L689" t="s">
        <v>220</v>
      </c>
      <c r="N689" t="s">
        <v>190</v>
      </c>
    </row>
    <row r="690" spans="1:14" x14ac:dyDescent="0.45">
      <c r="A690">
        <v>689</v>
      </c>
      <c r="B690">
        <v>260</v>
      </c>
      <c r="C690" t="s">
        <v>72</v>
      </c>
      <c r="D690" t="s">
        <v>546</v>
      </c>
      <c r="E690">
        <v>4020</v>
      </c>
      <c r="F690" t="s">
        <v>103</v>
      </c>
      <c r="G690" t="s">
        <v>99</v>
      </c>
      <c r="H690" t="s">
        <v>218</v>
      </c>
      <c r="I690">
        <v>0</v>
      </c>
      <c r="J690">
        <v>30144.45</v>
      </c>
      <c r="K690" t="s">
        <v>547</v>
      </c>
      <c r="L690" t="s">
        <v>220</v>
      </c>
      <c r="N690" t="s">
        <v>190</v>
      </c>
    </row>
    <row r="691" spans="1:14" x14ac:dyDescent="0.45">
      <c r="A691">
        <v>690</v>
      </c>
      <c r="B691">
        <v>260</v>
      </c>
      <c r="C691" t="s">
        <v>72</v>
      </c>
      <c r="D691" t="s">
        <v>546</v>
      </c>
      <c r="E691">
        <v>4030</v>
      </c>
      <c r="F691" t="s">
        <v>105</v>
      </c>
      <c r="G691" t="s">
        <v>99</v>
      </c>
      <c r="H691" t="s">
        <v>218</v>
      </c>
      <c r="I691">
        <v>0</v>
      </c>
      <c r="J691">
        <v>22836.7</v>
      </c>
      <c r="K691" t="s">
        <v>547</v>
      </c>
      <c r="L691" t="s">
        <v>220</v>
      </c>
      <c r="N691" t="s">
        <v>190</v>
      </c>
    </row>
    <row r="692" spans="1:14" x14ac:dyDescent="0.45">
      <c r="A692">
        <v>691</v>
      </c>
      <c r="B692">
        <v>261</v>
      </c>
      <c r="C692" t="s">
        <v>72</v>
      </c>
      <c r="D692" t="s">
        <v>548</v>
      </c>
      <c r="E692">
        <v>1000</v>
      </c>
      <c r="F692" t="s">
        <v>77</v>
      </c>
      <c r="G692" t="s">
        <v>78</v>
      </c>
      <c r="H692" t="s">
        <v>218</v>
      </c>
      <c r="I692">
        <v>80920.56</v>
      </c>
      <c r="J692">
        <v>0</v>
      </c>
      <c r="K692" t="s">
        <v>549</v>
      </c>
      <c r="L692" t="s">
        <v>223</v>
      </c>
      <c r="N692" t="s">
        <v>190</v>
      </c>
    </row>
    <row r="693" spans="1:14" x14ac:dyDescent="0.45">
      <c r="A693">
        <v>692</v>
      </c>
      <c r="B693">
        <v>261</v>
      </c>
      <c r="C693" t="s">
        <v>72</v>
      </c>
      <c r="D693" t="s">
        <v>548</v>
      </c>
      <c r="E693">
        <v>1100</v>
      </c>
      <c r="F693" t="s">
        <v>80</v>
      </c>
      <c r="G693" t="s">
        <v>78</v>
      </c>
      <c r="H693" t="s">
        <v>218</v>
      </c>
      <c r="I693">
        <v>0</v>
      </c>
      <c r="J693">
        <v>80920.56</v>
      </c>
      <c r="K693" t="s">
        <v>549</v>
      </c>
      <c r="L693" t="s">
        <v>223</v>
      </c>
      <c r="N693" t="s">
        <v>190</v>
      </c>
    </row>
    <row r="694" spans="1:14" x14ac:dyDescent="0.45">
      <c r="A694">
        <v>693</v>
      </c>
      <c r="B694">
        <v>262</v>
      </c>
      <c r="C694" t="s">
        <v>72</v>
      </c>
      <c r="D694" t="s">
        <v>550</v>
      </c>
      <c r="E694">
        <v>5010</v>
      </c>
      <c r="F694" t="s">
        <v>112</v>
      </c>
      <c r="G694" t="s">
        <v>110</v>
      </c>
      <c r="H694" t="s">
        <v>218</v>
      </c>
      <c r="I694">
        <v>5187.8999999999996</v>
      </c>
      <c r="J694">
        <v>0</v>
      </c>
      <c r="K694" t="s">
        <v>551</v>
      </c>
      <c r="L694" t="s">
        <v>226</v>
      </c>
      <c r="N694" t="s">
        <v>190</v>
      </c>
    </row>
    <row r="695" spans="1:14" x14ac:dyDescent="0.45">
      <c r="A695">
        <v>694</v>
      </c>
      <c r="B695">
        <v>262</v>
      </c>
      <c r="C695" t="s">
        <v>72</v>
      </c>
      <c r="D695" t="s">
        <v>550</v>
      </c>
      <c r="E695">
        <v>5020</v>
      </c>
      <c r="F695" t="s">
        <v>114</v>
      </c>
      <c r="G695" t="s">
        <v>110</v>
      </c>
      <c r="H695" t="s">
        <v>218</v>
      </c>
      <c r="I695">
        <v>4244.6499999999996</v>
      </c>
      <c r="J695">
        <v>0</v>
      </c>
      <c r="K695" t="s">
        <v>551</v>
      </c>
      <c r="L695" t="s">
        <v>226</v>
      </c>
      <c r="N695" t="s">
        <v>190</v>
      </c>
    </row>
    <row r="696" spans="1:14" x14ac:dyDescent="0.45">
      <c r="A696">
        <v>695</v>
      </c>
      <c r="B696">
        <v>262</v>
      </c>
      <c r="C696" t="s">
        <v>72</v>
      </c>
      <c r="D696" t="s">
        <v>550</v>
      </c>
      <c r="E696">
        <v>1000</v>
      </c>
      <c r="F696" t="s">
        <v>77</v>
      </c>
      <c r="G696" t="s">
        <v>78</v>
      </c>
      <c r="H696" t="s">
        <v>218</v>
      </c>
      <c r="I696">
        <v>0</v>
      </c>
      <c r="J696">
        <v>6602.78</v>
      </c>
      <c r="K696" t="s">
        <v>551</v>
      </c>
      <c r="L696" t="s">
        <v>226</v>
      </c>
      <c r="N696" t="s">
        <v>190</v>
      </c>
    </row>
    <row r="697" spans="1:14" x14ac:dyDescent="0.45">
      <c r="A697">
        <v>696</v>
      </c>
      <c r="B697">
        <v>262</v>
      </c>
      <c r="C697" t="s">
        <v>72</v>
      </c>
      <c r="D697" t="s">
        <v>550</v>
      </c>
      <c r="E697">
        <v>2000</v>
      </c>
      <c r="F697" t="s">
        <v>88</v>
      </c>
      <c r="G697" t="s">
        <v>89</v>
      </c>
      <c r="H697" t="s">
        <v>218</v>
      </c>
      <c r="I697">
        <v>0</v>
      </c>
      <c r="J697">
        <v>2829.77</v>
      </c>
      <c r="K697" t="s">
        <v>551</v>
      </c>
      <c r="L697" t="s">
        <v>226</v>
      </c>
      <c r="N697" t="s">
        <v>190</v>
      </c>
    </row>
    <row r="698" spans="1:14" x14ac:dyDescent="0.45">
      <c r="A698">
        <v>697</v>
      </c>
      <c r="B698">
        <v>263</v>
      </c>
      <c r="C698" t="s">
        <v>72</v>
      </c>
      <c r="D698" t="s">
        <v>552</v>
      </c>
      <c r="E698">
        <v>6010</v>
      </c>
      <c r="F698" t="s">
        <v>119</v>
      </c>
      <c r="G698" t="s">
        <v>117</v>
      </c>
      <c r="H698" t="s">
        <v>218</v>
      </c>
      <c r="I698">
        <v>44444</v>
      </c>
      <c r="J698">
        <v>0</v>
      </c>
      <c r="K698" t="s">
        <v>553</v>
      </c>
      <c r="L698" t="s">
        <v>229</v>
      </c>
      <c r="N698" t="s">
        <v>190</v>
      </c>
    </row>
    <row r="699" spans="1:14" x14ac:dyDescent="0.45">
      <c r="A699">
        <v>698</v>
      </c>
      <c r="B699">
        <v>263</v>
      </c>
      <c r="C699" t="s">
        <v>72</v>
      </c>
      <c r="D699" t="s">
        <v>552</v>
      </c>
      <c r="E699">
        <v>6020</v>
      </c>
      <c r="F699" t="s">
        <v>121</v>
      </c>
      <c r="G699" t="s">
        <v>117</v>
      </c>
      <c r="H699" t="s">
        <v>218</v>
      </c>
      <c r="I699">
        <v>6222.16</v>
      </c>
      <c r="J699">
        <v>0</v>
      </c>
      <c r="K699" t="s">
        <v>553</v>
      </c>
      <c r="L699" t="s">
        <v>229</v>
      </c>
      <c r="N699" t="s">
        <v>190</v>
      </c>
    </row>
    <row r="700" spans="1:14" x14ac:dyDescent="0.45">
      <c r="A700">
        <v>699</v>
      </c>
      <c r="B700">
        <v>263</v>
      </c>
      <c r="C700" t="s">
        <v>72</v>
      </c>
      <c r="D700" t="s">
        <v>552</v>
      </c>
      <c r="E700">
        <v>1000</v>
      </c>
      <c r="F700" t="s">
        <v>77</v>
      </c>
      <c r="G700" t="s">
        <v>78</v>
      </c>
      <c r="H700" t="s">
        <v>218</v>
      </c>
      <c r="I700">
        <v>0</v>
      </c>
      <c r="J700">
        <v>50610.07</v>
      </c>
      <c r="K700" t="s">
        <v>553</v>
      </c>
      <c r="L700" t="s">
        <v>229</v>
      </c>
      <c r="N700" t="s">
        <v>190</v>
      </c>
    </row>
    <row r="701" spans="1:14" x14ac:dyDescent="0.45">
      <c r="A701">
        <v>700</v>
      </c>
      <c r="B701">
        <v>263</v>
      </c>
      <c r="C701" t="s">
        <v>72</v>
      </c>
      <c r="D701" t="s">
        <v>552</v>
      </c>
      <c r="E701">
        <v>2100</v>
      </c>
      <c r="F701" t="s">
        <v>91</v>
      </c>
      <c r="G701" t="s">
        <v>89</v>
      </c>
      <c r="H701" t="s">
        <v>218</v>
      </c>
      <c r="I701">
        <v>0</v>
      </c>
      <c r="J701">
        <v>5066.62</v>
      </c>
      <c r="K701" t="s">
        <v>553</v>
      </c>
      <c r="L701" t="s">
        <v>229</v>
      </c>
      <c r="N701" t="s">
        <v>190</v>
      </c>
    </row>
    <row r="702" spans="1:14" x14ac:dyDescent="0.45">
      <c r="A702">
        <v>701</v>
      </c>
      <c r="B702">
        <v>263</v>
      </c>
      <c r="C702" t="s">
        <v>72</v>
      </c>
      <c r="D702" t="s">
        <v>552</v>
      </c>
      <c r="E702">
        <v>2100</v>
      </c>
      <c r="F702" t="s">
        <v>91</v>
      </c>
      <c r="G702" t="s">
        <v>89</v>
      </c>
      <c r="H702" t="s">
        <v>218</v>
      </c>
      <c r="I702">
        <v>5010.53</v>
      </c>
      <c r="J702">
        <v>0</v>
      </c>
      <c r="K702" t="s">
        <v>553</v>
      </c>
      <c r="L702" t="s">
        <v>229</v>
      </c>
      <c r="N702" t="s">
        <v>190</v>
      </c>
    </row>
    <row r="703" spans="1:14" x14ac:dyDescent="0.45">
      <c r="A703">
        <v>702</v>
      </c>
      <c r="B703">
        <v>264</v>
      </c>
      <c r="C703" t="s">
        <v>72</v>
      </c>
      <c r="D703" t="s">
        <v>554</v>
      </c>
      <c r="E703">
        <v>6030</v>
      </c>
      <c r="F703" t="s">
        <v>123</v>
      </c>
      <c r="G703" t="s">
        <v>117</v>
      </c>
      <c r="H703" t="s">
        <v>218</v>
      </c>
      <c r="I703">
        <v>7038</v>
      </c>
      <c r="J703">
        <v>0</v>
      </c>
      <c r="K703" t="s">
        <v>555</v>
      </c>
      <c r="L703" t="s">
        <v>232</v>
      </c>
      <c r="N703" t="s">
        <v>190</v>
      </c>
    </row>
    <row r="704" spans="1:14" x14ac:dyDescent="0.45">
      <c r="A704">
        <v>703</v>
      </c>
      <c r="B704">
        <v>264</v>
      </c>
      <c r="C704" t="s">
        <v>72</v>
      </c>
      <c r="D704" t="s">
        <v>554</v>
      </c>
      <c r="E704">
        <v>1000</v>
      </c>
      <c r="F704" t="s">
        <v>77</v>
      </c>
      <c r="G704" t="s">
        <v>78</v>
      </c>
      <c r="H704" t="s">
        <v>218</v>
      </c>
      <c r="I704">
        <v>0</v>
      </c>
      <c r="J704">
        <v>7038</v>
      </c>
      <c r="K704" t="s">
        <v>555</v>
      </c>
      <c r="L704" t="s">
        <v>232</v>
      </c>
      <c r="N704" t="s">
        <v>190</v>
      </c>
    </row>
    <row r="705" spans="1:14" x14ac:dyDescent="0.45">
      <c r="A705">
        <v>704</v>
      </c>
      <c r="B705">
        <v>265</v>
      </c>
      <c r="C705" t="s">
        <v>72</v>
      </c>
      <c r="D705" t="s">
        <v>556</v>
      </c>
      <c r="E705">
        <v>6040</v>
      </c>
      <c r="F705" t="s">
        <v>125</v>
      </c>
      <c r="G705" t="s">
        <v>117</v>
      </c>
      <c r="H705" t="s">
        <v>218</v>
      </c>
      <c r="I705">
        <v>2931.07</v>
      </c>
      <c r="J705">
        <v>0</v>
      </c>
      <c r="K705" t="s">
        <v>557</v>
      </c>
      <c r="L705" t="s">
        <v>226</v>
      </c>
      <c r="N705" t="s">
        <v>190</v>
      </c>
    </row>
    <row r="706" spans="1:14" x14ac:dyDescent="0.45">
      <c r="A706">
        <v>705</v>
      </c>
      <c r="B706">
        <v>265</v>
      </c>
      <c r="C706" t="s">
        <v>72</v>
      </c>
      <c r="D706" t="s">
        <v>556</v>
      </c>
      <c r="E706">
        <v>1000</v>
      </c>
      <c r="F706" t="s">
        <v>77</v>
      </c>
      <c r="G706" t="s">
        <v>78</v>
      </c>
      <c r="H706" t="s">
        <v>218</v>
      </c>
      <c r="I706">
        <v>0</v>
      </c>
      <c r="J706">
        <v>2344.86</v>
      </c>
      <c r="K706" t="s">
        <v>557</v>
      </c>
      <c r="L706" t="s">
        <v>226</v>
      </c>
      <c r="N706" t="s">
        <v>190</v>
      </c>
    </row>
    <row r="707" spans="1:14" x14ac:dyDescent="0.45">
      <c r="A707">
        <v>706</v>
      </c>
      <c r="B707">
        <v>265</v>
      </c>
      <c r="C707" t="s">
        <v>72</v>
      </c>
      <c r="D707" t="s">
        <v>556</v>
      </c>
      <c r="E707">
        <v>2000</v>
      </c>
      <c r="F707" t="s">
        <v>88</v>
      </c>
      <c r="G707" t="s">
        <v>89</v>
      </c>
      <c r="H707" t="s">
        <v>218</v>
      </c>
      <c r="I707">
        <v>0</v>
      </c>
      <c r="J707">
        <v>586.21</v>
      </c>
      <c r="K707" t="s">
        <v>557</v>
      </c>
      <c r="L707" t="s">
        <v>226</v>
      </c>
      <c r="N707" t="s">
        <v>190</v>
      </c>
    </row>
    <row r="708" spans="1:14" x14ac:dyDescent="0.45">
      <c r="A708">
        <v>707</v>
      </c>
      <c r="B708">
        <v>266</v>
      </c>
      <c r="C708" t="s">
        <v>72</v>
      </c>
      <c r="D708" t="s">
        <v>554</v>
      </c>
      <c r="E708">
        <v>6050</v>
      </c>
      <c r="F708" t="s">
        <v>127</v>
      </c>
      <c r="G708" t="s">
        <v>117</v>
      </c>
      <c r="H708" t="s">
        <v>218</v>
      </c>
      <c r="I708">
        <v>1450</v>
      </c>
      <c r="J708">
        <v>0</v>
      </c>
      <c r="K708" t="s">
        <v>558</v>
      </c>
      <c r="L708" t="s">
        <v>236</v>
      </c>
      <c r="N708" t="s">
        <v>190</v>
      </c>
    </row>
    <row r="709" spans="1:14" x14ac:dyDescent="0.45">
      <c r="A709">
        <v>708</v>
      </c>
      <c r="B709">
        <v>266</v>
      </c>
      <c r="C709" t="s">
        <v>72</v>
      </c>
      <c r="D709" t="s">
        <v>554</v>
      </c>
      <c r="E709">
        <v>1200</v>
      </c>
      <c r="F709" t="s">
        <v>82</v>
      </c>
      <c r="G709" t="s">
        <v>78</v>
      </c>
      <c r="H709" t="s">
        <v>218</v>
      </c>
      <c r="I709">
        <v>0</v>
      </c>
      <c r="J709">
        <v>1450</v>
      </c>
      <c r="K709" t="s">
        <v>558</v>
      </c>
      <c r="L709" t="s">
        <v>236</v>
      </c>
      <c r="N709" t="s">
        <v>190</v>
      </c>
    </row>
    <row r="710" spans="1:14" x14ac:dyDescent="0.45">
      <c r="A710">
        <v>709</v>
      </c>
      <c r="B710">
        <v>267</v>
      </c>
      <c r="C710" t="s">
        <v>72</v>
      </c>
      <c r="D710" t="s">
        <v>559</v>
      </c>
      <c r="E710">
        <v>6060</v>
      </c>
      <c r="F710" t="s">
        <v>129</v>
      </c>
      <c r="G710" t="s">
        <v>117</v>
      </c>
      <c r="H710" t="s">
        <v>218</v>
      </c>
      <c r="I710">
        <v>2247</v>
      </c>
      <c r="J710">
        <v>0</v>
      </c>
      <c r="K710" t="s">
        <v>560</v>
      </c>
      <c r="L710" t="s">
        <v>232</v>
      </c>
      <c r="N710" t="s">
        <v>190</v>
      </c>
    </row>
    <row r="711" spans="1:14" x14ac:dyDescent="0.45">
      <c r="A711">
        <v>710</v>
      </c>
      <c r="B711">
        <v>267</v>
      </c>
      <c r="C711" t="s">
        <v>72</v>
      </c>
      <c r="D711" t="s">
        <v>559</v>
      </c>
      <c r="E711">
        <v>1000</v>
      </c>
      <c r="F711" t="s">
        <v>77</v>
      </c>
      <c r="G711" t="s">
        <v>78</v>
      </c>
      <c r="H711" t="s">
        <v>218</v>
      </c>
      <c r="I711">
        <v>0</v>
      </c>
      <c r="J711">
        <v>2247</v>
      </c>
      <c r="K711" t="s">
        <v>560</v>
      </c>
      <c r="L711" t="s">
        <v>232</v>
      </c>
      <c r="N711" t="s">
        <v>190</v>
      </c>
    </row>
    <row r="712" spans="1:14" x14ac:dyDescent="0.45">
      <c r="A712">
        <v>711</v>
      </c>
      <c r="B712">
        <v>268</v>
      </c>
      <c r="C712" t="s">
        <v>72</v>
      </c>
      <c r="D712" t="s">
        <v>561</v>
      </c>
      <c r="E712">
        <v>7000</v>
      </c>
      <c r="F712" t="s">
        <v>133</v>
      </c>
      <c r="G712" t="s">
        <v>117</v>
      </c>
      <c r="H712" t="s">
        <v>218</v>
      </c>
      <c r="I712">
        <v>1100</v>
      </c>
      <c r="J712">
        <v>0</v>
      </c>
      <c r="K712" t="s">
        <v>562</v>
      </c>
      <c r="L712" t="s">
        <v>241</v>
      </c>
      <c r="N712" t="s">
        <v>190</v>
      </c>
    </row>
    <row r="713" spans="1:14" x14ac:dyDescent="0.45">
      <c r="A713">
        <v>712</v>
      </c>
      <c r="B713">
        <v>268</v>
      </c>
      <c r="C713" t="s">
        <v>72</v>
      </c>
      <c r="D713" t="s">
        <v>561</v>
      </c>
      <c r="E713">
        <v>1500</v>
      </c>
      <c r="F713" t="s">
        <v>86</v>
      </c>
      <c r="G713" t="s">
        <v>78</v>
      </c>
      <c r="H713" t="s">
        <v>218</v>
      </c>
      <c r="I713">
        <v>0</v>
      </c>
      <c r="J713">
        <v>1100</v>
      </c>
      <c r="K713" t="s">
        <v>562</v>
      </c>
      <c r="L713" t="s">
        <v>241</v>
      </c>
      <c r="N713" t="s">
        <v>190</v>
      </c>
    </row>
    <row r="714" spans="1:14" x14ac:dyDescent="0.45">
      <c r="A714">
        <v>713</v>
      </c>
      <c r="B714">
        <v>269</v>
      </c>
      <c r="C714" t="s">
        <v>72</v>
      </c>
      <c r="D714" t="s">
        <v>563</v>
      </c>
      <c r="E714">
        <v>2000</v>
      </c>
      <c r="F714" t="s">
        <v>88</v>
      </c>
      <c r="G714" t="s">
        <v>89</v>
      </c>
      <c r="H714" t="s">
        <v>218</v>
      </c>
      <c r="I714">
        <v>3777.49</v>
      </c>
      <c r="J714">
        <v>0</v>
      </c>
      <c r="K714" t="s">
        <v>564</v>
      </c>
      <c r="L714" t="s">
        <v>232</v>
      </c>
      <c r="N714" t="s">
        <v>190</v>
      </c>
    </row>
    <row r="715" spans="1:14" x14ac:dyDescent="0.45">
      <c r="A715">
        <v>714</v>
      </c>
      <c r="B715">
        <v>269</v>
      </c>
      <c r="C715" t="s">
        <v>72</v>
      </c>
      <c r="D715" t="s">
        <v>563</v>
      </c>
      <c r="E715">
        <v>1000</v>
      </c>
      <c r="F715" t="s">
        <v>77</v>
      </c>
      <c r="G715" t="s">
        <v>78</v>
      </c>
      <c r="H715" t="s">
        <v>218</v>
      </c>
      <c r="I715">
        <v>0</v>
      </c>
      <c r="J715">
        <v>3777.49</v>
      </c>
      <c r="K715" t="s">
        <v>564</v>
      </c>
      <c r="L715" t="s">
        <v>232</v>
      </c>
      <c r="N715" t="s">
        <v>190</v>
      </c>
    </row>
    <row r="716" spans="1:14" x14ac:dyDescent="0.45">
      <c r="A716">
        <v>715</v>
      </c>
      <c r="B716">
        <v>270</v>
      </c>
      <c r="C716" t="s">
        <v>73</v>
      </c>
      <c r="D716" t="s">
        <v>546</v>
      </c>
      <c r="E716">
        <v>1100</v>
      </c>
      <c r="F716" t="s">
        <v>80</v>
      </c>
      <c r="G716" t="s">
        <v>78</v>
      </c>
      <c r="H716" t="s">
        <v>218</v>
      </c>
      <c r="I716">
        <v>66989.570000000007</v>
      </c>
      <c r="J716">
        <v>0</v>
      </c>
      <c r="K716" t="s">
        <v>565</v>
      </c>
      <c r="L716" t="s">
        <v>220</v>
      </c>
      <c r="N716" t="s">
        <v>190</v>
      </c>
    </row>
    <row r="717" spans="1:14" x14ac:dyDescent="0.45">
      <c r="A717">
        <v>716</v>
      </c>
      <c r="B717">
        <v>270</v>
      </c>
      <c r="C717" t="s">
        <v>73</v>
      </c>
      <c r="D717" t="s">
        <v>546</v>
      </c>
      <c r="E717">
        <v>4010</v>
      </c>
      <c r="F717" t="s">
        <v>101</v>
      </c>
      <c r="G717" t="s">
        <v>99</v>
      </c>
      <c r="H717" t="s">
        <v>218</v>
      </c>
      <c r="I717">
        <v>0</v>
      </c>
      <c r="J717">
        <v>28135.62</v>
      </c>
      <c r="K717" t="s">
        <v>565</v>
      </c>
      <c r="L717" t="s">
        <v>220</v>
      </c>
      <c r="N717" t="s">
        <v>190</v>
      </c>
    </row>
    <row r="718" spans="1:14" x14ac:dyDescent="0.45">
      <c r="A718">
        <v>717</v>
      </c>
      <c r="B718">
        <v>270</v>
      </c>
      <c r="C718" t="s">
        <v>73</v>
      </c>
      <c r="D718" t="s">
        <v>546</v>
      </c>
      <c r="E718">
        <v>4020</v>
      </c>
      <c r="F718" t="s">
        <v>103</v>
      </c>
      <c r="G718" t="s">
        <v>99</v>
      </c>
      <c r="H718" t="s">
        <v>218</v>
      </c>
      <c r="I718">
        <v>0</v>
      </c>
      <c r="J718">
        <v>22106.560000000001</v>
      </c>
      <c r="K718" t="s">
        <v>565</v>
      </c>
      <c r="L718" t="s">
        <v>220</v>
      </c>
      <c r="N718" t="s">
        <v>190</v>
      </c>
    </row>
    <row r="719" spans="1:14" x14ac:dyDescent="0.45">
      <c r="A719">
        <v>718</v>
      </c>
      <c r="B719">
        <v>270</v>
      </c>
      <c r="C719" t="s">
        <v>73</v>
      </c>
      <c r="D719" t="s">
        <v>546</v>
      </c>
      <c r="E719">
        <v>4030</v>
      </c>
      <c r="F719" t="s">
        <v>105</v>
      </c>
      <c r="G719" t="s">
        <v>99</v>
      </c>
      <c r="H719" t="s">
        <v>218</v>
      </c>
      <c r="I719">
        <v>0</v>
      </c>
      <c r="J719">
        <v>16747.39</v>
      </c>
      <c r="K719" t="s">
        <v>565</v>
      </c>
      <c r="L719" t="s">
        <v>220</v>
      </c>
      <c r="N719" t="s">
        <v>190</v>
      </c>
    </row>
    <row r="720" spans="1:14" x14ac:dyDescent="0.45">
      <c r="A720">
        <v>719</v>
      </c>
      <c r="B720">
        <v>271</v>
      </c>
      <c r="C720" t="s">
        <v>73</v>
      </c>
      <c r="D720" t="s">
        <v>548</v>
      </c>
      <c r="E720">
        <v>1000</v>
      </c>
      <c r="F720" t="s">
        <v>77</v>
      </c>
      <c r="G720" t="s">
        <v>78</v>
      </c>
      <c r="H720" t="s">
        <v>218</v>
      </c>
      <c r="I720">
        <v>62455.59</v>
      </c>
      <c r="J720">
        <v>0</v>
      </c>
      <c r="K720" t="s">
        <v>566</v>
      </c>
      <c r="L720" t="s">
        <v>223</v>
      </c>
      <c r="N720" t="s">
        <v>190</v>
      </c>
    </row>
    <row r="721" spans="1:14" x14ac:dyDescent="0.45">
      <c r="A721">
        <v>720</v>
      </c>
      <c r="B721">
        <v>271</v>
      </c>
      <c r="C721" t="s">
        <v>73</v>
      </c>
      <c r="D721" t="s">
        <v>548</v>
      </c>
      <c r="E721">
        <v>1100</v>
      </c>
      <c r="F721" t="s">
        <v>80</v>
      </c>
      <c r="G721" t="s">
        <v>78</v>
      </c>
      <c r="H721" t="s">
        <v>218</v>
      </c>
      <c r="I721">
        <v>0</v>
      </c>
      <c r="J721">
        <v>62455.59</v>
      </c>
      <c r="K721" t="s">
        <v>566</v>
      </c>
      <c r="L721" t="s">
        <v>223</v>
      </c>
      <c r="N721" t="s">
        <v>190</v>
      </c>
    </row>
    <row r="722" spans="1:14" x14ac:dyDescent="0.45">
      <c r="A722">
        <v>721</v>
      </c>
      <c r="B722">
        <v>272</v>
      </c>
      <c r="C722" t="s">
        <v>73</v>
      </c>
      <c r="D722" t="s">
        <v>550</v>
      </c>
      <c r="E722">
        <v>5010</v>
      </c>
      <c r="F722" t="s">
        <v>112</v>
      </c>
      <c r="G722" t="s">
        <v>110</v>
      </c>
      <c r="H722" t="s">
        <v>218</v>
      </c>
      <c r="I722">
        <v>3804.57</v>
      </c>
      <c r="J722">
        <v>0</v>
      </c>
      <c r="K722" t="s">
        <v>567</v>
      </c>
      <c r="L722" t="s">
        <v>226</v>
      </c>
      <c r="N722" t="s">
        <v>190</v>
      </c>
    </row>
    <row r="723" spans="1:14" x14ac:dyDescent="0.45">
      <c r="A723">
        <v>722</v>
      </c>
      <c r="B723">
        <v>272</v>
      </c>
      <c r="C723" t="s">
        <v>73</v>
      </c>
      <c r="D723" t="s">
        <v>550</v>
      </c>
      <c r="E723">
        <v>5020</v>
      </c>
      <c r="F723" t="s">
        <v>114</v>
      </c>
      <c r="G723" t="s">
        <v>110</v>
      </c>
      <c r="H723" t="s">
        <v>218</v>
      </c>
      <c r="I723">
        <v>3112.83</v>
      </c>
      <c r="J723">
        <v>0</v>
      </c>
      <c r="K723" t="s">
        <v>567</v>
      </c>
      <c r="L723" t="s">
        <v>226</v>
      </c>
      <c r="N723" t="s">
        <v>190</v>
      </c>
    </row>
    <row r="724" spans="1:14" x14ac:dyDescent="0.45">
      <c r="A724">
        <v>723</v>
      </c>
      <c r="B724">
        <v>272</v>
      </c>
      <c r="C724" t="s">
        <v>73</v>
      </c>
      <c r="D724" t="s">
        <v>550</v>
      </c>
      <c r="E724">
        <v>1000</v>
      </c>
      <c r="F724" t="s">
        <v>77</v>
      </c>
      <c r="G724" t="s">
        <v>78</v>
      </c>
      <c r="H724" t="s">
        <v>218</v>
      </c>
      <c r="I724">
        <v>0</v>
      </c>
      <c r="J724">
        <v>4842.18</v>
      </c>
      <c r="K724" t="s">
        <v>567</v>
      </c>
      <c r="L724" t="s">
        <v>226</v>
      </c>
      <c r="N724" t="s">
        <v>190</v>
      </c>
    </row>
    <row r="725" spans="1:14" x14ac:dyDescent="0.45">
      <c r="A725">
        <v>724</v>
      </c>
      <c r="B725">
        <v>272</v>
      </c>
      <c r="C725" t="s">
        <v>73</v>
      </c>
      <c r="D725" t="s">
        <v>550</v>
      </c>
      <c r="E725">
        <v>2000</v>
      </c>
      <c r="F725" t="s">
        <v>88</v>
      </c>
      <c r="G725" t="s">
        <v>89</v>
      </c>
      <c r="H725" t="s">
        <v>218</v>
      </c>
      <c r="I725">
        <v>0</v>
      </c>
      <c r="J725">
        <v>2075.2199999999998</v>
      </c>
      <c r="K725" t="s">
        <v>567</v>
      </c>
      <c r="L725" t="s">
        <v>226</v>
      </c>
      <c r="N725" t="s">
        <v>190</v>
      </c>
    </row>
    <row r="726" spans="1:14" x14ac:dyDescent="0.45">
      <c r="A726">
        <v>725</v>
      </c>
      <c r="B726">
        <v>273</v>
      </c>
      <c r="C726" t="s">
        <v>73</v>
      </c>
      <c r="D726" t="s">
        <v>552</v>
      </c>
      <c r="E726">
        <v>6010</v>
      </c>
      <c r="F726" t="s">
        <v>119</v>
      </c>
      <c r="G726" t="s">
        <v>117</v>
      </c>
      <c r="H726" t="s">
        <v>218</v>
      </c>
      <c r="I726">
        <v>27555.279999999999</v>
      </c>
      <c r="J726">
        <v>0</v>
      </c>
      <c r="K726" t="s">
        <v>568</v>
      </c>
      <c r="L726" t="s">
        <v>229</v>
      </c>
      <c r="N726" t="s">
        <v>190</v>
      </c>
    </row>
    <row r="727" spans="1:14" x14ac:dyDescent="0.45">
      <c r="A727">
        <v>726</v>
      </c>
      <c r="B727">
        <v>273</v>
      </c>
      <c r="C727" t="s">
        <v>73</v>
      </c>
      <c r="D727" t="s">
        <v>552</v>
      </c>
      <c r="E727">
        <v>6020</v>
      </c>
      <c r="F727" t="s">
        <v>121</v>
      </c>
      <c r="G727" t="s">
        <v>117</v>
      </c>
      <c r="H727" t="s">
        <v>218</v>
      </c>
      <c r="I727">
        <v>3857.74</v>
      </c>
      <c r="J727">
        <v>0</v>
      </c>
      <c r="K727" t="s">
        <v>568</v>
      </c>
      <c r="L727" t="s">
        <v>229</v>
      </c>
      <c r="N727" t="s">
        <v>190</v>
      </c>
    </row>
    <row r="728" spans="1:14" x14ac:dyDescent="0.45">
      <c r="A728">
        <v>727</v>
      </c>
      <c r="B728">
        <v>273</v>
      </c>
      <c r="C728" t="s">
        <v>73</v>
      </c>
      <c r="D728" t="s">
        <v>552</v>
      </c>
      <c r="E728">
        <v>1000</v>
      </c>
      <c r="F728" t="s">
        <v>77</v>
      </c>
      <c r="G728" t="s">
        <v>78</v>
      </c>
      <c r="H728" t="s">
        <v>218</v>
      </c>
      <c r="I728">
        <v>0</v>
      </c>
      <c r="J728">
        <v>31378.25</v>
      </c>
      <c r="K728" t="s">
        <v>568</v>
      </c>
      <c r="L728" t="s">
        <v>229</v>
      </c>
      <c r="N728" t="s">
        <v>190</v>
      </c>
    </row>
    <row r="729" spans="1:14" x14ac:dyDescent="0.45">
      <c r="A729">
        <v>728</v>
      </c>
      <c r="B729">
        <v>273</v>
      </c>
      <c r="C729" t="s">
        <v>73</v>
      </c>
      <c r="D729" t="s">
        <v>552</v>
      </c>
      <c r="E729">
        <v>2100</v>
      </c>
      <c r="F729" t="s">
        <v>91</v>
      </c>
      <c r="G729" t="s">
        <v>89</v>
      </c>
      <c r="H729" t="s">
        <v>218</v>
      </c>
      <c r="I729">
        <v>0</v>
      </c>
      <c r="J729">
        <v>3141.3</v>
      </c>
      <c r="K729" t="s">
        <v>568</v>
      </c>
      <c r="L729" t="s">
        <v>229</v>
      </c>
      <c r="N729" t="s">
        <v>190</v>
      </c>
    </row>
    <row r="730" spans="1:14" x14ac:dyDescent="0.45">
      <c r="A730">
        <v>729</v>
      </c>
      <c r="B730">
        <v>273</v>
      </c>
      <c r="C730" t="s">
        <v>73</v>
      </c>
      <c r="D730" t="s">
        <v>552</v>
      </c>
      <c r="E730">
        <v>2100</v>
      </c>
      <c r="F730" t="s">
        <v>91</v>
      </c>
      <c r="G730" t="s">
        <v>89</v>
      </c>
      <c r="H730" t="s">
        <v>218</v>
      </c>
      <c r="I730">
        <v>3106.53</v>
      </c>
      <c r="J730">
        <v>0</v>
      </c>
      <c r="K730" t="s">
        <v>568</v>
      </c>
      <c r="L730" t="s">
        <v>229</v>
      </c>
      <c r="N730" t="s">
        <v>190</v>
      </c>
    </row>
    <row r="731" spans="1:14" x14ac:dyDescent="0.45">
      <c r="A731">
        <v>730</v>
      </c>
      <c r="B731">
        <v>274</v>
      </c>
      <c r="C731" t="s">
        <v>73</v>
      </c>
      <c r="D731" t="s">
        <v>554</v>
      </c>
      <c r="E731">
        <v>6030</v>
      </c>
      <c r="F731" t="s">
        <v>123</v>
      </c>
      <c r="G731" t="s">
        <v>117</v>
      </c>
      <c r="H731" t="s">
        <v>218</v>
      </c>
      <c r="I731">
        <v>4363.5600000000004</v>
      </c>
      <c r="J731">
        <v>0</v>
      </c>
      <c r="K731" t="s">
        <v>569</v>
      </c>
      <c r="L731" t="s">
        <v>232</v>
      </c>
      <c r="N731" t="s">
        <v>190</v>
      </c>
    </row>
    <row r="732" spans="1:14" x14ac:dyDescent="0.45">
      <c r="A732">
        <v>731</v>
      </c>
      <c r="B732">
        <v>274</v>
      </c>
      <c r="C732" t="s">
        <v>73</v>
      </c>
      <c r="D732" t="s">
        <v>554</v>
      </c>
      <c r="E732">
        <v>1000</v>
      </c>
      <c r="F732" t="s">
        <v>77</v>
      </c>
      <c r="G732" t="s">
        <v>78</v>
      </c>
      <c r="H732" t="s">
        <v>218</v>
      </c>
      <c r="I732">
        <v>0</v>
      </c>
      <c r="J732">
        <v>4363.5600000000004</v>
      </c>
      <c r="K732" t="s">
        <v>569</v>
      </c>
      <c r="L732" t="s">
        <v>232</v>
      </c>
      <c r="N732" t="s">
        <v>190</v>
      </c>
    </row>
    <row r="733" spans="1:14" x14ac:dyDescent="0.45">
      <c r="A733">
        <v>732</v>
      </c>
      <c r="B733">
        <v>275</v>
      </c>
      <c r="C733" t="s">
        <v>73</v>
      </c>
      <c r="D733" t="s">
        <v>556</v>
      </c>
      <c r="E733">
        <v>6040</v>
      </c>
      <c r="F733" t="s">
        <v>125</v>
      </c>
      <c r="G733" t="s">
        <v>117</v>
      </c>
      <c r="H733" t="s">
        <v>218</v>
      </c>
      <c r="I733">
        <v>2149.5100000000002</v>
      </c>
      <c r="J733">
        <v>0</v>
      </c>
      <c r="K733" t="s">
        <v>570</v>
      </c>
      <c r="L733" t="s">
        <v>226</v>
      </c>
      <c r="N733" t="s">
        <v>190</v>
      </c>
    </row>
    <row r="734" spans="1:14" x14ac:dyDescent="0.45">
      <c r="A734">
        <v>733</v>
      </c>
      <c r="B734">
        <v>275</v>
      </c>
      <c r="C734" t="s">
        <v>73</v>
      </c>
      <c r="D734" t="s">
        <v>556</v>
      </c>
      <c r="E734">
        <v>1000</v>
      </c>
      <c r="F734" t="s">
        <v>77</v>
      </c>
      <c r="G734" t="s">
        <v>78</v>
      </c>
      <c r="H734" t="s">
        <v>218</v>
      </c>
      <c r="I734">
        <v>0</v>
      </c>
      <c r="J734">
        <v>1719.61</v>
      </c>
      <c r="K734" t="s">
        <v>570</v>
      </c>
      <c r="L734" t="s">
        <v>226</v>
      </c>
      <c r="N734" t="s">
        <v>190</v>
      </c>
    </row>
    <row r="735" spans="1:14" x14ac:dyDescent="0.45">
      <c r="A735">
        <v>734</v>
      </c>
      <c r="B735">
        <v>275</v>
      </c>
      <c r="C735" t="s">
        <v>73</v>
      </c>
      <c r="D735" t="s">
        <v>556</v>
      </c>
      <c r="E735">
        <v>2000</v>
      </c>
      <c r="F735" t="s">
        <v>88</v>
      </c>
      <c r="G735" t="s">
        <v>89</v>
      </c>
      <c r="H735" t="s">
        <v>218</v>
      </c>
      <c r="I735">
        <v>0</v>
      </c>
      <c r="J735">
        <v>429.9</v>
      </c>
      <c r="K735" t="s">
        <v>570</v>
      </c>
      <c r="L735" t="s">
        <v>226</v>
      </c>
      <c r="N735" t="s">
        <v>190</v>
      </c>
    </row>
    <row r="736" spans="1:14" x14ac:dyDescent="0.45">
      <c r="A736">
        <v>735</v>
      </c>
      <c r="B736">
        <v>276</v>
      </c>
      <c r="C736" t="s">
        <v>73</v>
      </c>
      <c r="D736" t="s">
        <v>554</v>
      </c>
      <c r="E736">
        <v>6050</v>
      </c>
      <c r="F736" t="s">
        <v>127</v>
      </c>
      <c r="G736" t="s">
        <v>117</v>
      </c>
      <c r="H736" t="s">
        <v>218</v>
      </c>
      <c r="I736">
        <v>899</v>
      </c>
      <c r="J736">
        <v>0</v>
      </c>
      <c r="K736" t="s">
        <v>571</v>
      </c>
      <c r="L736" t="s">
        <v>236</v>
      </c>
      <c r="N736" t="s">
        <v>190</v>
      </c>
    </row>
    <row r="737" spans="1:14" x14ac:dyDescent="0.45">
      <c r="A737">
        <v>736</v>
      </c>
      <c r="B737">
        <v>276</v>
      </c>
      <c r="C737" t="s">
        <v>73</v>
      </c>
      <c r="D737" t="s">
        <v>554</v>
      </c>
      <c r="E737">
        <v>1200</v>
      </c>
      <c r="F737" t="s">
        <v>82</v>
      </c>
      <c r="G737" t="s">
        <v>78</v>
      </c>
      <c r="H737" t="s">
        <v>218</v>
      </c>
      <c r="I737">
        <v>0</v>
      </c>
      <c r="J737">
        <v>899</v>
      </c>
      <c r="K737" t="s">
        <v>571</v>
      </c>
      <c r="L737" t="s">
        <v>236</v>
      </c>
      <c r="N737" t="s">
        <v>190</v>
      </c>
    </row>
    <row r="738" spans="1:14" x14ac:dyDescent="0.45">
      <c r="A738">
        <v>737</v>
      </c>
      <c r="B738">
        <v>277</v>
      </c>
      <c r="C738" t="s">
        <v>73</v>
      </c>
      <c r="D738" t="s">
        <v>559</v>
      </c>
      <c r="E738">
        <v>6060</v>
      </c>
      <c r="F738" t="s">
        <v>129</v>
      </c>
      <c r="G738" t="s">
        <v>117</v>
      </c>
      <c r="H738" t="s">
        <v>218</v>
      </c>
      <c r="I738">
        <v>1393.14</v>
      </c>
      <c r="J738">
        <v>0</v>
      </c>
      <c r="K738" t="s">
        <v>572</v>
      </c>
      <c r="L738" t="s">
        <v>232</v>
      </c>
      <c r="N738" t="s">
        <v>190</v>
      </c>
    </row>
    <row r="739" spans="1:14" x14ac:dyDescent="0.45">
      <c r="A739">
        <v>738</v>
      </c>
      <c r="B739">
        <v>277</v>
      </c>
      <c r="C739" t="s">
        <v>73</v>
      </c>
      <c r="D739" t="s">
        <v>559</v>
      </c>
      <c r="E739">
        <v>1000</v>
      </c>
      <c r="F739" t="s">
        <v>77</v>
      </c>
      <c r="G739" t="s">
        <v>78</v>
      </c>
      <c r="H739" t="s">
        <v>218</v>
      </c>
      <c r="I739">
        <v>0</v>
      </c>
      <c r="J739">
        <v>1393.14</v>
      </c>
      <c r="K739" t="s">
        <v>572</v>
      </c>
      <c r="L739" t="s">
        <v>232</v>
      </c>
      <c r="N739" t="s">
        <v>190</v>
      </c>
    </row>
    <row r="740" spans="1:14" x14ac:dyDescent="0.45">
      <c r="A740">
        <v>739</v>
      </c>
      <c r="B740">
        <v>278</v>
      </c>
      <c r="C740" t="s">
        <v>73</v>
      </c>
      <c r="D740" t="s">
        <v>561</v>
      </c>
      <c r="E740">
        <v>7000</v>
      </c>
      <c r="F740" t="s">
        <v>133</v>
      </c>
      <c r="G740" t="s">
        <v>117</v>
      </c>
      <c r="H740" t="s">
        <v>218</v>
      </c>
      <c r="I740">
        <v>682</v>
      </c>
      <c r="J740">
        <v>0</v>
      </c>
      <c r="K740" t="s">
        <v>573</v>
      </c>
      <c r="L740" t="s">
        <v>241</v>
      </c>
      <c r="N740" t="s">
        <v>190</v>
      </c>
    </row>
    <row r="741" spans="1:14" x14ac:dyDescent="0.45">
      <c r="A741">
        <v>740</v>
      </c>
      <c r="B741">
        <v>278</v>
      </c>
      <c r="C741" t="s">
        <v>73</v>
      </c>
      <c r="D741" t="s">
        <v>561</v>
      </c>
      <c r="E741">
        <v>1500</v>
      </c>
      <c r="F741" t="s">
        <v>86</v>
      </c>
      <c r="G741" t="s">
        <v>78</v>
      </c>
      <c r="H741" t="s">
        <v>218</v>
      </c>
      <c r="I741">
        <v>0</v>
      </c>
      <c r="J741">
        <v>682</v>
      </c>
      <c r="K741" t="s">
        <v>573</v>
      </c>
      <c r="L741" t="s">
        <v>241</v>
      </c>
      <c r="N741" t="s">
        <v>190</v>
      </c>
    </row>
    <row r="742" spans="1:14" x14ac:dyDescent="0.45">
      <c r="A742">
        <v>741</v>
      </c>
      <c r="B742">
        <v>279</v>
      </c>
      <c r="C742" t="s">
        <v>73</v>
      </c>
      <c r="D742" t="s">
        <v>563</v>
      </c>
      <c r="E742">
        <v>2000</v>
      </c>
      <c r="F742" t="s">
        <v>88</v>
      </c>
      <c r="G742" t="s">
        <v>89</v>
      </c>
      <c r="H742" t="s">
        <v>218</v>
      </c>
      <c r="I742">
        <v>2141.27</v>
      </c>
      <c r="J742">
        <v>0</v>
      </c>
      <c r="K742" t="s">
        <v>574</v>
      </c>
      <c r="L742" t="s">
        <v>232</v>
      </c>
      <c r="N742" t="s">
        <v>190</v>
      </c>
    </row>
    <row r="743" spans="1:14" x14ac:dyDescent="0.45">
      <c r="A743">
        <v>742</v>
      </c>
      <c r="B743">
        <v>279</v>
      </c>
      <c r="C743" t="s">
        <v>73</v>
      </c>
      <c r="D743" t="s">
        <v>563</v>
      </c>
      <c r="E743">
        <v>1000</v>
      </c>
      <c r="F743" t="s">
        <v>77</v>
      </c>
      <c r="G743" t="s">
        <v>78</v>
      </c>
      <c r="H743" t="s">
        <v>218</v>
      </c>
      <c r="I743">
        <v>0</v>
      </c>
      <c r="J743">
        <v>2141.27</v>
      </c>
      <c r="K743" t="s">
        <v>574</v>
      </c>
      <c r="L743" t="s">
        <v>232</v>
      </c>
      <c r="N743" t="s">
        <v>190</v>
      </c>
    </row>
    <row r="744" spans="1:14" x14ac:dyDescent="0.45">
      <c r="A744">
        <v>743</v>
      </c>
      <c r="B744">
        <v>280</v>
      </c>
      <c r="C744" t="s">
        <v>74</v>
      </c>
      <c r="D744" t="s">
        <v>546</v>
      </c>
      <c r="E744">
        <v>1100</v>
      </c>
      <c r="F744" t="s">
        <v>80</v>
      </c>
      <c r="G744" t="s">
        <v>78</v>
      </c>
      <c r="H744" t="s">
        <v>218</v>
      </c>
      <c r="I744">
        <v>50656.97</v>
      </c>
      <c r="J744">
        <v>0</v>
      </c>
      <c r="K744" t="s">
        <v>575</v>
      </c>
      <c r="L744" t="s">
        <v>220</v>
      </c>
      <c r="N744" t="s">
        <v>190</v>
      </c>
    </row>
    <row r="745" spans="1:14" x14ac:dyDescent="0.45">
      <c r="A745">
        <v>744</v>
      </c>
      <c r="B745">
        <v>280</v>
      </c>
      <c r="C745" t="s">
        <v>74</v>
      </c>
      <c r="D745" t="s">
        <v>546</v>
      </c>
      <c r="E745">
        <v>4010</v>
      </c>
      <c r="F745" t="s">
        <v>101</v>
      </c>
      <c r="G745" t="s">
        <v>99</v>
      </c>
      <c r="H745" t="s">
        <v>218</v>
      </c>
      <c r="I745">
        <v>0</v>
      </c>
      <c r="J745">
        <v>21275.93</v>
      </c>
      <c r="K745" t="s">
        <v>575</v>
      </c>
      <c r="L745" t="s">
        <v>220</v>
      </c>
      <c r="N745" t="s">
        <v>190</v>
      </c>
    </row>
    <row r="746" spans="1:14" x14ac:dyDescent="0.45">
      <c r="A746">
        <v>745</v>
      </c>
      <c r="B746">
        <v>280</v>
      </c>
      <c r="C746" t="s">
        <v>74</v>
      </c>
      <c r="D746" t="s">
        <v>546</v>
      </c>
      <c r="E746">
        <v>4020</v>
      </c>
      <c r="F746" t="s">
        <v>103</v>
      </c>
      <c r="G746" t="s">
        <v>99</v>
      </c>
      <c r="H746" t="s">
        <v>218</v>
      </c>
      <c r="I746">
        <v>0</v>
      </c>
      <c r="J746">
        <v>16716.8</v>
      </c>
      <c r="K746" t="s">
        <v>575</v>
      </c>
      <c r="L746" t="s">
        <v>220</v>
      </c>
      <c r="N746" t="s">
        <v>190</v>
      </c>
    </row>
    <row r="747" spans="1:14" x14ac:dyDescent="0.45">
      <c r="A747">
        <v>746</v>
      </c>
      <c r="B747">
        <v>280</v>
      </c>
      <c r="C747" t="s">
        <v>74</v>
      </c>
      <c r="D747" t="s">
        <v>546</v>
      </c>
      <c r="E747">
        <v>4030</v>
      </c>
      <c r="F747" t="s">
        <v>105</v>
      </c>
      <c r="G747" t="s">
        <v>99</v>
      </c>
      <c r="H747" t="s">
        <v>218</v>
      </c>
      <c r="I747">
        <v>0</v>
      </c>
      <c r="J747">
        <v>12664.24</v>
      </c>
      <c r="K747" t="s">
        <v>575</v>
      </c>
      <c r="L747" t="s">
        <v>220</v>
      </c>
      <c r="N747" t="s">
        <v>190</v>
      </c>
    </row>
    <row r="748" spans="1:14" x14ac:dyDescent="0.45">
      <c r="A748">
        <v>747</v>
      </c>
      <c r="B748">
        <v>281</v>
      </c>
      <c r="C748" t="s">
        <v>74</v>
      </c>
      <c r="D748" t="s">
        <v>548</v>
      </c>
      <c r="E748">
        <v>1000</v>
      </c>
      <c r="F748" t="s">
        <v>77</v>
      </c>
      <c r="G748" t="s">
        <v>78</v>
      </c>
      <c r="H748" t="s">
        <v>218</v>
      </c>
      <c r="I748">
        <v>47486.3</v>
      </c>
      <c r="J748">
        <v>0</v>
      </c>
      <c r="K748" t="s">
        <v>576</v>
      </c>
      <c r="L748" t="s">
        <v>223</v>
      </c>
      <c r="N748" t="s">
        <v>190</v>
      </c>
    </row>
    <row r="749" spans="1:14" x14ac:dyDescent="0.45">
      <c r="A749">
        <v>748</v>
      </c>
      <c r="B749">
        <v>281</v>
      </c>
      <c r="C749" t="s">
        <v>74</v>
      </c>
      <c r="D749" t="s">
        <v>548</v>
      </c>
      <c r="E749">
        <v>1100</v>
      </c>
      <c r="F749" t="s">
        <v>80</v>
      </c>
      <c r="G749" t="s">
        <v>78</v>
      </c>
      <c r="H749" t="s">
        <v>218</v>
      </c>
      <c r="I749">
        <v>0</v>
      </c>
      <c r="J749">
        <v>47486.3</v>
      </c>
      <c r="K749" t="s">
        <v>576</v>
      </c>
      <c r="L749" t="s">
        <v>223</v>
      </c>
      <c r="N749" t="s">
        <v>190</v>
      </c>
    </row>
    <row r="750" spans="1:14" x14ac:dyDescent="0.45">
      <c r="A750">
        <v>749</v>
      </c>
      <c r="B750">
        <v>282</v>
      </c>
      <c r="C750" t="s">
        <v>74</v>
      </c>
      <c r="D750" t="s">
        <v>550</v>
      </c>
      <c r="E750">
        <v>5010</v>
      </c>
      <c r="F750" t="s">
        <v>112</v>
      </c>
      <c r="G750" t="s">
        <v>110</v>
      </c>
      <c r="H750" t="s">
        <v>218</v>
      </c>
      <c r="I750">
        <v>2876.98</v>
      </c>
      <c r="J750">
        <v>0</v>
      </c>
      <c r="K750" t="s">
        <v>577</v>
      </c>
      <c r="L750" t="s">
        <v>226</v>
      </c>
      <c r="N750" t="s">
        <v>190</v>
      </c>
    </row>
    <row r="751" spans="1:14" x14ac:dyDescent="0.45">
      <c r="A751">
        <v>750</v>
      </c>
      <c r="B751">
        <v>282</v>
      </c>
      <c r="C751" t="s">
        <v>74</v>
      </c>
      <c r="D751" t="s">
        <v>550</v>
      </c>
      <c r="E751">
        <v>5020</v>
      </c>
      <c r="F751" t="s">
        <v>114</v>
      </c>
      <c r="G751" t="s">
        <v>110</v>
      </c>
      <c r="H751" t="s">
        <v>218</v>
      </c>
      <c r="I751">
        <v>2353.9</v>
      </c>
      <c r="J751">
        <v>0</v>
      </c>
      <c r="K751" t="s">
        <v>577</v>
      </c>
      <c r="L751" t="s">
        <v>226</v>
      </c>
      <c r="N751" t="s">
        <v>190</v>
      </c>
    </row>
    <row r="752" spans="1:14" x14ac:dyDescent="0.45">
      <c r="A752">
        <v>751</v>
      </c>
      <c r="B752">
        <v>282</v>
      </c>
      <c r="C752" t="s">
        <v>74</v>
      </c>
      <c r="D752" t="s">
        <v>550</v>
      </c>
      <c r="E752">
        <v>1000</v>
      </c>
      <c r="F752" t="s">
        <v>77</v>
      </c>
      <c r="G752" t="s">
        <v>78</v>
      </c>
      <c r="H752" t="s">
        <v>218</v>
      </c>
      <c r="I752">
        <v>0</v>
      </c>
      <c r="J752">
        <v>3661.62</v>
      </c>
      <c r="K752" t="s">
        <v>577</v>
      </c>
      <c r="L752" t="s">
        <v>226</v>
      </c>
      <c r="N752" t="s">
        <v>190</v>
      </c>
    </row>
    <row r="753" spans="1:14" x14ac:dyDescent="0.45">
      <c r="A753">
        <v>752</v>
      </c>
      <c r="B753">
        <v>282</v>
      </c>
      <c r="C753" t="s">
        <v>74</v>
      </c>
      <c r="D753" t="s">
        <v>550</v>
      </c>
      <c r="E753">
        <v>2000</v>
      </c>
      <c r="F753" t="s">
        <v>88</v>
      </c>
      <c r="G753" t="s">
        <v>89</v>
      </c>
      <c r="H753" t="s">
        <v>218</v>
      </c>
      <c r="I753">
        <v>0</v>
      </c>
      <c r="J753">
        <v>1569.26</v>
      </c>
      <c r="K753" t="s">
        <v>577</v>
      </c>
      <c r="L753" t="s">
        <v>226</v>
      </c>
      <c r="N753" t="s">
        <v>190</v>
      </c>
    </row>
    <row r="754" spans="1:14" x14ac:dyDescent="0.45">
      <c r="A754">
        <v>753</v>
      </c>
      <c r="B754">
        <v>283</v>
      </c>
      <c r="C754" t="s">
        <v>74</v>
      </c>
      <c r="D754" t="s">
        <v>552</v>
      </c>
      <c r="E754">
        <v>6010</v>
      </c>
      <c r="F754" t="s">
        <v>119</v>
      </c>
      <c r="G754" t="s">
        <v>117</v>
      </c>
      <c r="H754" t="s">
        <v>218</v>
      </c>
      <c r="I754">
        <v>24444.2</v>
      </c>
      <c r="J754">
        <v>0</v>
      </c>
      <c r="K754" t="s">
        <v>578</v>
      </c>
      <c r="L754" t="s">
        <v>229</v>
      </c>
      <c r="N754" t="s">
        <v>190</v>
      </c>
    </row>
    <row r="755" spans="1:14" x14ac:dyDescent="0.45">
      <c r="A755">
        <v>754</v>
      </c>
      <c r="B755">
        <v>283</v>
      </c>
      <c r="C755" t="s">
        <v>74</v>
      </c>
      <c r="D755" t="s">
        <v>552</v>
      </c>
      <c r="E755">
        <v>6020</v>
      </c>
      <c r="F755" t="s">
        <v>121</v>
      </c>
      <c r="G755" t="s">
        <v>117</v>
      </c>
      <c r="H755" t="s">
        <v>218</v>
      </c>
      <c r="I755">
        <v>3422.19</v>
      </c>
      <c r="J755">
        <v>0</v>
      </c>
      <c r="K755" t="s">
        <v>578</v>
      </c>
      <c r="L755" t="s">
        <v>229</v>
      </c>
      <c r="N755" t="s">
        <v>190</v>
      </c>
    </row>
    <row r="756" spans="1:14" x14ac:dyDescent="0.45">
      <c r="A756">
        <v>755</v>
      </c>
      <c r="B756">
        <v>283</v>
      </c>
      <c r="C756" t="s">
        <v>74</v>
      </c>
      <c r="D756" t="s">
        <v>552</v>
      </c>
      <c r="E756">
        <v>1000</v>
      </c>
      <c r="F756" t="s">
        <v>77</v>
      </c>
      <c r="G756" t="s">
        <v>78</v>
      </c>
      <c r="H756" t="s">
        <v>218</v>
      </c>
      <c r="I756">
        <v>0</v>
      </c>
      <c r="J756">
        <v>27835.54</v>
      </c>
      <c r="K756" t="s">
        <v>578</v>
      </c>
      <c r="L756" t="s">
        <v>229</v>
      </c>
      <c r="N756" t="s">
        <v>190</v>
      </c>
    </row>
    <row r="757" spans="1:14" x14ac:dyDescent="0.45">
      <c r="A757">
        <v>756</v>
      </c>
      <c r="B757">
        <v>283</v>
      </c>
      <c r="C757" t="s">
        <v>74</v>
      </c>
      <c r="D757" t="s">
        <v>552</v>
      </c>
      <c r="E757">
        <v>2100</v>
      </c>
      <c r="F757" t="s">
        <v>91</v>
      </c>
      <c r="G757" t="s">
        <v>89</v>
      </c>
      <c r="H757" t="s">
        <v>218</v>
      </c>
      <c r="I757">
        <v>0</v>
      </c>
      <c r="J757">
        <v>2786.64</v>
      </c>
      <c r="K757" t="s">
        <v>578</v>
      </c>
      <c r="L757" t="s">
        <v>229</v>
      </c>
      <c r="N757" t="s">
        <v>190</v>
      </c>
    </row>
    <row r="758" spans="1:14" x14ac:dyDescent="0.45">
      <c r="A758">
        <v>757</v>
      </c>
      <c r="B758">
        <v>283</v>
      </c>
      <c r="C758" t="s">
        <v>74</v>
      </c>
      <c r="D758" t="s">
        <v>552</v>
      </c>
      <c r="E758">
        <v>2100</v>
      </c>
      <c r="F758" t="s">
        <v>91</v>
      </c>
      <c r="G758" t="s">
        <v>89</v>
      </c>
      <c r="H758" t="s">
        <v>218</v>
      </c>
      <c r="I758">
        <v>2755.79</v>
      </c>
      <c r="J758">
        <v>0</v>
      </c>
      <c r="K758" t="s">
        <v>578</v>
      </c>
      <c r="L758" t="s">
        <v>229</v>
      </c>
      <c r="N758" t="s">
        <v>190</v>
      </c>
    </row>
    <row r="759" spans="1:14" x14ac:dyDescent="0.45">
      <c r="A759">
        <v>758</v>
      </c>
      <c r="B759">
        <v>284</v>
      </c>
      <c r="C759" t="s">
        <v>74</v>
      </c>
      <c r="D759" t="s">
        <v>554</v>
      </c>
      <c r="E759">
        <v>6030</v>
      </c>
      <c r="F759" t="s">
        <v>123</v>
      </c>
      <c r="G759" t="s">
        <v>117</v>
      </c>
      <c r="H759" t="s">
        <v>218</v>
      </c>
      <c r="I759">
        <v>3870.9</v>
      </c>
      <c r="J759">
        <v>0</v>
      </c>
      <c r="K759" t="s">
        <v>579</v>
      </c>
      <c r="L759" t="s">
        <v>232</v>
      </c>
      <c r="N759" t="s">
        <v>190</v>
      </c>
    </row>
    <row r="760" spans="1:14" x14ac:dyDescent="0.45">
      <c r="A760">
        <v>759</v>
      </c>
      <c r="B760">
        <v>284</v>
      </c>
      <c r="C760" t="s">
        <v>74</v>
      </c>
      <c r="D760" t="s">
        <v>554</v>
      </c>
      <c r="E760">
        <v>1000</v>
      </c>
      <c r="F760" t="s">
        <v>77</v>
      </c>
      <c r="G760" t="s">
        <v>78</v>
      </c>
      <c r="H760" t="s">
        <v>218</v>
      </c>
      <c r="I760">
        <v>0</v>
      </c>
      <c r="J760">
        <v>3870.9</v>
      </c>
      <c r="K760" t="s">
        <v>579</v>
      </c>
      <c r="L760" t="s">
        <v>232</v>
      </c>
      <c r="N760" t="s">
        <v>190</v>
      </c>
    </row>
    <row r="761" spans="1:14" x14ac:dyDescent="0.45">
      <c r="A761">
        <v>760</v>
      </c>
      <c r="B761">
        <v>285</v>
      </c>
      <c r="C761" t="s">
        <v>74</v>
      </c>
      <c r="D761" t="s">
        <v>556</v>
      </c>
      <c r="E761">
        <v>6040</v>
      </c>
      <c r="F761" t="s">
        <v>125</v>
      </c>
      <c r="G761" t="s">
        <v>117</v>
      </c>
      <c r="H761" t="s">
        <v>218</v>
      </c>
      <c r="I761">
        <v>1625.44</v>
      </c>
      <c r="J761">
        <v>0</v>
      </c>
      <c r="K761" t="s">
        <v>580</v>
      </c>
      <c r="L761" t="s">
        <v>226</v>
      </c>
      <c r="N761" t="s">
        <v>190</v>
      </c>
    </row>
    <row r="762" spans="1:14" x14ac:dyDescent="0.45">
      <c r="A762">
        <v>761</v>
      </c>
      <c r="B762">
        <v>285</v>
      </c>
      <c r="C762" t="s">
        <v>74</v>
      </c>
      <c r="D762" t="s">
        <v>556</v>
      </c>
      <c r="E762">
        <v>1000</v>
      </c>
      <c r="F762" t="s">
        <v>77</v>
      </c>
      <c r="G762" t="s">
        <v>78</v>
      </c>
      <c r="H762" t="s">
        <v>218</v>
      </c>
      <c r="I762">
        <v>0</v>
      </c>
      <c r="J762">
        <v>1300.3499999999999</v>
      </c>
      <c r="K762" t="s">
        <v>580</v>
      </c>
      <c r="L762" t="s">
        <v>226</v>
      </c>
      <c r="N762" t="s">
        <v>190</v>
      </c>
    </row>
    <row r="763" spans="1:14" x14ac:dyDescent="0.45">
      <c r="A763">
        <v>762</v>
      </c>
      <c r="B763">
        <v>285</v>
      </c>
      <c r="C763" t="s">
        <v>74</v>
      </c>
      <c r="D763" t="s">
        <v>556</v>
      </c>
      <c r="E763">
        <v>2000</v>
      </c>
      <c r="F763" t="s">
        <v>88</v>
      </c>
      <c r="G763" t="s">
        <v>89</v>
      </c>
      <c r="H763" t="s">
        <v>218</v>
      </c>
      <c r="I763">
        <v>0</v>
      </c>
      <c r="J763">
        <v>325.08999999999997</v>
      </c>
      <c r="K763" t="s">
        <v>580</v>
      </c>
      <c r="L763" t="s">
        <v>226</v>
      </c>
      <c r="N763" t="s">
        <v>190</v>
      </c>
    </row>
    <row r="764" spans="1:14" x14ac:dyDescent="0.45">
      <c r="A764">
        <v>763</v>
      </c>
      <c r="B764">
        <v>286</v>
      </c>
      <c r="C764" t="s">
        <v>74</v>
      </c>
      <c r="D764" t="s">
        <v>554</v>
      </c>
      <c r="E764">
        <v>6050</v>
      </c>
      <c r="F764" t="s">
        <v>127</v>
      </c>
      <c r="G764" t="s">
        <v>117</v>
      </c>
      <c r="H764" t="s">
        <v>218</v>
      </c>
      <c r="I764">
        <v>797.5</v>
      </c>
      <c r="J764">
        <v>0</v>
      </c>
      <c r="K764" t="s">
        <v>581</v>
      </c>
      <c r="L764" t="s">
        <v>236</v>
      </c>
      <c r="N764" t="s">
        <v>190</v>
      </c>
    </row>
    <row r="765" spans="1:14" x14ac:dyDescent="0.45">
      <c r="A765">
        <v>764</v>
      </c>
      <c r="B765">
        <v>286</v>
      </c>
      <c r="C765" t="s">
        <v>74</v>
      </c>
      <c r="D765" t="s">
        <v>554</v>
      </c>
      <c r="E765">
        <v>1200</v>
      </c>
      <c r="F765" t="s">
        <v>82</v>
      </c>
      <c r="G765" t="s">
        <v>78</v>
      </c>
      <c r="H765" t="s">
        <v>218</v>
      </c>
      <c r="I765">
        <v>0</v>
      </c>
      <c r="J765">
        <v>797.5</v>
      </c>
      <c r="K765" t="s">
        <v>581</v>
      </c>
      <c r="L765" t="s">
        <v>236</v>
      </c>
      <c r="N765" t="s">
        <v>190</v>
      </c>
    </row>
    <row r="766" spans="1:14" x14ac:dyDescent="0.45">
      <c r="A766">
        <v>765</v>
      </c>
      <c r="B766">
        <v>287</v>
      </c>
      <c r="C766" t="s">
        <v>74</v>
      </c>
      <c r="D766" t="s">
        <v>559</v>
      </c>
      <c r="E766">
        <v>6060</v>
      </c>
      <c r="F766" t="s">
        <v>129</v>
      </c>
      <c r="G766" t="s">
        <v>117</v>
      </c>
      <c r="H766" t="s">
        <v>218</v>
      </c>
      <c r="I766">
        <v>1235.8499999999999</v>
      </c>
      <c r="J766">
        <v>0</v>
      </c>
      <c r="K766" t="s">
        <v>582</v>
      </c>
      <c r="L766" t="s">
        <v>232</v>
      </c>
      <c r="N766" t="s">
        <v>190</v>
      </c>
    </row>
    <row r="767" spans="1:14" x14ac:dyDescent="0.45">
      <c r="A767">
        <v>766</v>
      </c>
      <c r="B767">
        <v>287</v>
      </c>
      <c r="C767" t="s">
        <v>74</v>
      </c>
      <c r="D767" t="s">
        <v>559</v>
      </c>
      <c r="E767">
        <v>1000</v>
      </c>
      <c r="F767" t="s">
        <v>77</v>
      </c>
      <c r="G767" t="s">
        <v>78</v>
      </c>
      <c r="H767" t="s">
        <v>218</v>
      </c>
      <c r="I767">
        <v>0</v>
      </c>
      <c r="J767">
        <v>1235.8499999999999</v>
      </c>
      <c r="K767" t="s">
        <v>582</v>
      </c>
      <c r="L767" t="s">
        <v>232</v>
      </c>
      <c r="N767" t="s">
        <v>190</v>
      </c>
    </row>
    <row r="768" spans="1:14" x14ac:dyDescent="0.45">
      <c r="A768">
        <v>767</v>
      </c>
      <c r="B768">
        <v>288</v>
      </c>
      <c r="C768" t="s">
        <v>74</v>
      </c>
      <c r="D768" t="s">
        <v>561</v>
      </c>
      <c r="E768">
        <v>7000</v>
      </c>
      <c r="F768" t="s">
        <v>133</v>
      </c>
      <c r="G768" t="s">
        <v>117</v>
      </c>
      <c r="H768" t="s">
        <v>218</v>
      </c>
      <c r="I768">
        <v>605</v>
      </c>
      <c r="J768">
        <v>0</v>
      </c>
      <c r="K768" t="s">
        <v>583</v>
      </c>
      <c r="L768" t="s">
        <v>241</v>
      </c>
      <c r="N768" t="s">
        <v>190</v>
      </c>
    </row>
    <row r="769" spans="1:14" x14ac:dyDescent="0.45">
      <c r="A769">
        <v>768</v>
      </c>
      <c r="B769">
        <v>288</v>
      </c>
      <c r="C769" t="s">
        <v>74</v>
      </c>
      <c r="D769" t="s">
        <v>561</v>
      </c>
      <c r="E769">
        <v>1500</v>
      </c>
      <c r="F769" t="s">
        <v>86</v>
      </c>
      <c r="G769" t="s">
        <v>78</v>
      </c>
      <c r="H769" t="s">
        <v>218</v>
      </c>
      <c r="I769">
        <v>0</v>
      </c>
      <c r="J769">
        <v>605</v>
      </c>
      <c r="K769" t="s">
        <v>583</v>
      </c>
      <c r="L769" t="s">
        <v>241</v>
      </c>
      <c r="N769" t="s">
        <v>190</v>
      </c>
    </row>
    <row r="770" spans="1:14" x14ac:dyDescent="0.45">
      <c r="A770">
        <v>769</v>
      </c>
      <c r="B770">
        <v>289</v>
      </c>
      <c r="C770" t="s">
        <v>74</v>
      </c>
      <c r="D770" t="s">
        <v>563</v>
      </c>
      <c r="E770">
        <v>2000</v>
      </c>
      <c r="F770" t="s">
        <v>88</v>
      </c>
      <c r="G770" t="s">
        <v>89</v>
      </c>
      <c r="H770" t="s">
        <v>218</v>
      </c>
      <c r="I770">
        <v>2016.56</v>
      </c>
      <c r="J770">
        <v>0</v>
      </c>
      <c r="K770" t="s">
        <v>584</v>
      </c>
      <c r="L770" t="s">
        <v>232</v>
      </c>
      <c r="N770" t="s">
        <v>190</v>
      </c>
    </row>
    <row r="771" spans="1:14" x14ac:dyDescent="0.45">
      <c r="A771">
        <v>770</v>
      </c>
      <c r="B771">
        <v>289</v>
      </c>
      <c r="C771" t="s">
        <v>74</v>
      </c>
      <c r="D771" t="s">
        <v>563</v>
      </c>
      <c r="E771">
        <v>1000</v>
      </c>
      <c r="F771" t="s">
        <v>77</v>
      </c>
      <c r="G771" t="s">
        <v>78</v>
      </c>
      <c r="H771" t="s">
        <v>218</v>
      </c>
      <c r="I771">
        <v>0</v>
      </c>
      <c r="J771">
        <v>2016.56</v>
      </c>
      <c r="K771" t="s">
        <v>584</v>
      </c>
      <c r="L771" t="s">
        <v>232</v>
      </c>
      <c r="N771" t="s">
        <v>190</v>
      </c>
    </row>
    <row r="772" spans="1:14" x14ac:dyDescent="0.45">
      <c r="A772">
        <v>771</v>
      </c>
      <c r="B772">
        <v>290</v>
      </c>
      <c r="C772" t="s">
        <v>72</v>
      </c>
      <c r="D772" t="s">
        <v>585</v>
      </c>
      <c r="E772">
        <v>1300</v>
      </c>
      <c r="F772" t="s">
        <v>84</v>
      </c>
      <c r="G772" t="s">
        <v>78</v>
      </c>
      <c r="H772" t="s">
        <v>261</v>
      </c>
      <c r="I772">
        <v>3449.68</v>
      </c>
      <c r="J772">
        <v>0</v>
      </c>
      <c r="K772" t="s">
        <v>586</v>
      </c>
      <c r="L772" t="s">
        <v>263</v>
      </c>
      <c r="M772" t="s">
        <v>73</v>
      </c>
      <c r="N772" t="s">
        <v>190</v>
      </c>
    </row>
    <row r="773" spans="1:14" x14ac:dyDescent="0.45">
      <c r="A773">
        <v>772</v>
      </c>
      <c r="B773">
        <v>290</v>
      </c>
      <c r="C773" t="s">
        <v>72</v>
      </c>
      <c r="D773" t="s">
        <v>585</v>
      </c>
      <c r="E773">
        <v>4090</v>
      </c>
      <c r="F773" t="s">
        <v>107</v>
      </c>
      <c r="G773" t="s">
        <v>99</v>
      </c>
      <c r="H773" t="s">
        <v>261</v>
      </c>
      <c r="I773">
        <v>0</v>
      </c>
      <c r="J773">
        <v>3449.68</v>
      </c>
      <c r="K773" t="s">
        <v>586</v>
      </c>
      <c r="L773" t="s">
        <v>263</v>
      </c>
      <c r="M773" t="s">
        <v>73</v>
      </c>
      <c r="N773" t="s">
        <v>190</v>
      </c>
    </row>
    <row r="774" spans="1:14" x14ac:dyDescent="0.45">
      <c r="A774">
        <v>773</v>
      </c>
      <c r="B774">
        <v>291</v>
      </c>
      <c r="C774" t="s">
        <v>73</v>
      </c>
      <c r="D774" t="s">
        <v>585</v>
      </c>
      <c r="E774">
        <v>6070</v>
      </c>
      <c r="F774" t="s">
        <v>131</v>
      </c>
      <c r="G774" t="s">
        <v>117</v>
      </c>
      <c r="H774" t="s">
        <v>261</v>
      </c>
      <c r="I774">
        <v>3449.68</v>
      </c>
      <c r="J774">
        <v>0</v>
      </c>
      <c r="K774" t="s">
        <v>587</v>
      </c>
      <c r="L774" t="s">
        <v>263</v>
      </c>
      <c r="M774" t="s">
        <v>72</v>
      </c>
      <c r="N774" t="s">
        <v>190</v>
      </c>
    </row>
    <row r="775" spans="1:14" x14ac:dyDescent="0.45">
      <c r="A775">
        <v>774</v>
      </c>
      <c r="B775">
        <v>291</v>
      </c>
      <c r="C775" t="s">
        <v>73</v>
      </c>
      <c r="D775" t="s">
        <v>585</v>
      </c>
      <c r="E775">
        <v>2200</v>
      </c>
      <c r="F775" t="s">
        <v>93</v>
      </c>
      <c r="G775" t="s">
        <v>89</v>
      </c>
      <c r="H775" t="s">
        <v>261</v>
      </c>
      <c r="I775">
        <v>0</v>
      </c>
      <c r="J775">
        <v>3449.68</v>
      </c>
      <c r="K775" t="s">
        <v>587</v>
      </c>
      <c r="L775" t="s">
        <v>263</v>
      </c>
      <c r="M775" t="s">
        <v>72</v>
      </c>
      <c r="N775" t="s">
        <v>190</v>
      </c>
    </row>
    <row r="776" spans="1:14" x14ac:dyDescent="0.45">
      <c r="A776">
        <v>775</v>
      </c>
      <c r="B776">
        <v>292</v>
      </c>
      <c r="C776" t="s">
        <v>73</v>
      </c>
      <c r="D776" t="s">
        <v>548</v>
      </c>
      <c r="E776">
        <v>2200</v>
      </c>
      <c r="F776" t="s">
        <v>93</v>
      </c>
      <c r="G776" t="s">
        <v>89</v>
      </c>
      <c r="H776" t="s">
        <v>261</v>
      </c>
      <c r="I776">
        <v>3417.44</v>
      </c>
      <c r="J776">
        <v>0</v>
      </c>
      <c r="K776" t="s">
        <v>588</v>
      </c>
      <c r="L776" t="s">
        <v>309</v>
      </c>
      <c r="M776" t="s">
        <v>72</v>
      </c>
      <c r="N776" t="s">
        <v>190</v>
      </c>
    </row>
    <row r="777" spans="1:14" x14ac:dyDescent="0.45">
      <c r="A777">
        <v>776</v>
      </c>
      <c r="B777">
        <v>292</v>
      </c>
      <c r="C777" t="s">
        <v>73</v>
      </c>
      <c r="D777" t="s">
        <v>548</v>
      </c>
      <c r="E777">
        <v>1000</v>
      </c>
      <c r="F777" t="s">
        <v>77</v>
      </c>
      <c r="G777" t="s">
        <v>78</v>
      </c>
      <c r="H777" t="s">
        <v>218</v>
      </c>
      <c r="I777">
        <v>0</v>
      </c>
      <c r="J777">
        <v>3417.44</v>
      </c>
      <c r="K777" t="s">
        <v>588</v>
      </c>
      <c r="L777" t="s">
        <v>309</v>
      </c>
      <c r="M777" t="s">
        <v>72</v>
      </c>
      <c r="N777" t="s">
        <v>190</v>
      </c>
    </row>
    <row r="778" spans="1:14" x14ac:dyDescent="0.45">
      <c r="A778">
        <v>777</v>
      </c>
      <c r="B778">
        <v>293</v>
      </c>
      <c r="C778" t="s">
        <v>72</v>
      </c>
      <c r="D778" t="s">
        <v>548</v>
      </c>
      <c r="E778">
        <v>1000</v>
      </c>
      <c r="F778" t="s">
        <v>77</v>
      </c>
      <c r="G778" t="s">
        <v>78</v>
      </c>
      <c r="H778" t="s">
        <v>218</v>
      </c>
      <c r="I778">
        <v>3417.44</v>
      </c>
      <c r="J778">
        <v>0</v>
      </c>
      <c r="K778" t="s">
        <v>589</v>
      </c>
      <c r="L778" t="s">
        <v>309</v>
      </c>
      <c r="M778" t="s">
        <v>73</v>
      </c>
      <c r="N778" t="s">
        <v>190</v>
      </c>
    </row>
    <row r="779" spans="1:14" x14ac:dyDescent="0.45">
      <c r="A779">
        <v>778</v>
      </c>
      <c r="B779">
        <v>293</v>
      </c>
      <c r="C779" t="s">
        <v>72</v>
      </c>
      <c r="D779" t="s">
        <v>548</v>
      </c>
      <c r="E779">
        <v>1300</v>
      </c>
      <c r="F779" t="s">
        <v>84</v>
      </c>
      <c r="G779" t="s">
        <v>78</v>
      </c>
      <c r="H779" t="s">
        <v>261</v>
      </c>
      <c r="I779">
        <v>0</v>
      </c>
      <c r="J779">
        <v>3417.44</v>
      </c>
      <c r="K779" t="s">
        <v>589</v>
      </c>
      <c r="L779" t="s">
        <v>309</v>
      </c>
      <c r="M779" t="s">
        <v>73</v>
      </c>
      <c r="N779" t="s">
        <v>190</v>
      </c>
    </row>
    <row r="780" spans="1:14" x14ac:dyDescent="0.45">
      <c r="A780">
        <v>779</v>
      </c>
      <c r="B780">
        <v>294</v>
      </c>
      <c r="C780" t="s">
        <v>72</v>
      </c>
      <c r="D780" t="s">
        <v>585</v>
      </c>
      <c r="E780">
        <v>1300</v>
      </c>
      <c r="F780" t="s">
        <v>84</v>
      </c>
      <c r="G780" t="s">
        <v>78</v>
      </c>
      <c r="H780" t="s">
        <v>261</v>
      </c>
      <c r="I780">
        <v>3060.2</v>
      </c>
      <c r="J780">
        <v>0</v>
      </c>
      <c r="K780" t="s">
        <v>590</v>
      </c>
      <c r="L780" t="s">
        <v>263</v>
      </c>
      <c r="M780" t="s">
        <v>74</v>
      </c>
      <c r="N780" t="s">
        <v>190</v>
      </c>
    </row>
    <row r="781" spans="1:14" x14ac:dyDescent="0.45">
      <c r="A781">
        <v>780</v>
      </c>
      <c r="B781">
        <v>294</v>
      </c>
      <c r="C781" t="s">
        <v>72</v>
      </c>
      <c r="D781" t="s">
        <v>585</v>
      </c>
      <c r="E781">
        <v>4090</v>
      </c>
      <c r="F781" t="s">
        <v>107</v>
      </c>
      <c r="G781" t="s">
        <v>99</v>
      </c>
      <c r="H781" t="s">
        <v>261</v>
      </c>
      <c r="I781">
        <v>0</v>
      </c>
      <c r="J781">
        <v>3060.2</v>
      </c>
      <c r="K781" t="s">
        <v>590</v>
      </c>
      <c r="L781" t="s">
        <v>263</v>
      </c>
      <c r="M781" t="s">
        <v>74</v>
      </c>
      <c r="N781" t="s">
        <v>190</v>
      </c>
    </row>
    <row r="782" spans="1:14" x14ac:dyDescent="0.45">
      <c r="A782">
        <v>781</v>
      </c>
      <c r="B782">
        <v>295</v>
      </c>
      <c r="C782" t="s">
        <v>74</v>
      </c>
      <c r="D782" t="s">
        <v>585</v>
      </c>
      <c r="E782">
        <v>6070</v>
      </c>
      <c r="F782" t="s">
        <v>131</v>
      </c>
      <c r="G782" t="s">
        <v>117</v>
      </c>
      <c r="H782" t="s">
        <v>261</v>
      </c>
      <c r="I782">
        <v>3060.2</v>
      </c>
      <c r="J782">
        <v>0</v>
      </c>
      <c r="K782" t="s">
        <v>587</v>
      </c>
      <c r="L782" t="s">
        <v>263</v>
      </c>
      <c r="M782" t="s">
        <v>72</v>
      </c>
      <c r="N782" t="s">
        <v>190</v>
      </c>
    </row>
    <row r="783" spans="1:14" x14ac:dyDescent="0.45">
      <c r="A783">
        <v>782</v>
      </c>
      <c r="B783">
        <v>295</v>
      </c>
      <c r="C783" t="s">
        <v>74</v>
      </c>
      <c r="D783" t="s">
        <v>585</v>
      </c>
      <c r="E783">
        <v>2200</v>
      </c>
      <c r="F783" t="s">
        <v>93</v>
      </c>
      <c r="G783" t="s">
        <v>89</v>
      </c>
      <c r="H783" t="s">
        <v>261</v>
      </c>
      <c r="I783">
        <v>0</v>
      </c>
      <c r="J783">
        <v>3060.2</v>
      </c>
      <c r="K783" t="s">
        <v>587</v>
      </c>
      <c r="L783" t="s">
        <v>263</v>
      </c>
      <c r="M783" t="s">
        <v>72</v>
      </c>
      <c r="N783" t="s">
        <v>190</v>
      </c>
    </row>
    <row r="784" spans="1:14" x14ac:dyDescent="0.45">
      <c r="A784">
        <v>783</v>
      </c>
      <c r="B784">
        <v>296</v>
      </c>
      <c r="C784" t="s">
        <v>74</v>
      </c>
      <c r="D784" t="s">
        <v>548</v>
      </c>
      <c r="E784">
        <v>2200</v>
      </c>
      <c r="F784" t="s">
        <v>93</v>
      </c>
      <c r="G784" t="s">
        <v>89</v>
      </c>
      <c r="H784" t="s">
        <v>261</v>
      </c>
      <c r="I784">
        <v>3031.6</v>
      </c>
      <c r="J784">
        <v>0</v>
      </c>
      <c r="K784" t="s">
        <v>588</v>
      </c>
      <c r="L784" t="s">
        <v>309</v>
      </c>
      <c r="M784" t="s">
        <v>72</v>
      </c>
      <c r="N784" t="s">
        <v>190</v>
      </c>
    </row>
    <row r="785" spans="1:14" x14ac:dyDescent="0.45">
      <c r="A785">
        <v>784</v>
      </c>
      <c r="B785">
        <v>296</v>
      </c>
      <c r="C785" t="s">
        <v>74</v>
      </c>
      <c r="D785" t="s">
        <v>548</v>
      </c>
      <c r="E785">
        <v>1000</v>
      </c>
      <c r="F785" t="s">
        <v>77</v>
      </c>
      <c r="G785" t="s">
        <v>78</v>
      </c>
      <c r="H785" t="s">
        <v>218</v>
      </c>
      <c r="I785">
        <v>0</v>
      </c>
      <c r="J785">
        <v>3031.6</v>
      </c>
      <c r="K785" t="s">
        <v>588</v>
      </c>
      <c r="L785" t="s">
        <v>309</v>
      </c>
      <c r="M785" t="s">
        <v>72</v>
      </c>
      <c r="N785" t="s">
        <v>190</v>
      </c>
    </row>
    <row r="786" spans="1:14" x14ac:dyDescent="0.45">
      <c r="A786">
        <v>785</v>
      </c>
      <c r="B786">
        <v>297</v>
      </c>
      <c r="C786" t="s">
        <v>72</v>
      </c>
      <c r="D786" t="s">
        <v>548</v>
      </c>
      <c r="E786">
        <v>1000</v>
      </c>
      <c r="F786" t="s">
        <v>77</v>
      </c>
      <c r="G786" t="s">
        <v>78</v>
      </c>
      <c r="H786" t="s">
        <v>218</v>
      </c>
      <c r="I786">
        <v>3031.6</v>
      </c>
      <c r="J786">
        <v>0</v>
      </c>
      <c r="K786" t="s">
        <v>591</v>
      </c>
      <c r="L786" t="s">
        <v>309</v>
      </c>
      <c r="M786" t="s">
        <v>74</v>
      </c>
      <c r="N786" t="s">
        <v>190</v>
      </c>
    </row>
    <row r="787" spans="1:14" x14ac:dyDescent="0.45">
      <c r="A787">
        <v>786</v>
      </c>
      <c r="B787">
        <v>297</v>
      </c>
      <c r="C787" t="s">
        <v>72</v>
      </c>
      <c r="D787" t="s">
        <v>548</v>
      </c>
      <c r="E787">
        <v>1300</v>
      </c>
      <c r="F787" t="s">
        <v>84</v>
      </c>
      <c r="G787" t="s">
        <v>78</v>
      </c>
      <c r="H787" t="s">
        <v>261</v>
      </c>
      <c r="I787">
        <v>0</v>
      </c>
      <c r="J787">
        <v>3031.6</v>
      </c>
      <c r="K787" t="s">
        <v>591</v>
      </c>
      <c r="L787" t="s">
        <v>309</v>
      </c>
      <c r="M787" t="s">
        <v>74</v>
      </c>
      <c r="N787" t="s">
        <v>190</v>
      </c>
    </row>
    <row r="788" spans="1:14" x14ac:dyDescent="0.45">
      <c r="A788">
        <v>787</v>
      </c>
      <c r="B788">
        <v>298</v>
      </c>
      <c r="C788" t="s">
        <v>72</v>
      </c>
      <c r="D788" t="s">
        <v>592</v>
      </c>
      <c r="E788">
        <v>1100</v>
      </c>
      <c r="F788" t="s">
        <v>80</v>
      </c>
      <c r="G788" t="s">
        <v>78</v>
      </c>
      <c r="H788" t="s">
        <v>218</v>
      </c>
      <c r="I788">
        <v>100145</v>
      </c>
      <c r="J788">
        <v>0</v>
      </c>
      <c r="K788" t="s">
        <v>593</v>
      </c>
      <c r="L788" t="s">
        <v>220</v>
      </c>
      <c r="N788" t="s">
        <v>191</v>
      </c>
    </row>
    <row r="789" spans="1:14" x14ac:dyDescent="0.45">
      <c r="A789">
        <v>788</v>
      </c>
      <c r="B789">
        <v>298</v>
      </c>
      <c r="C789" t="s">
        <v>72</v>
      </c>
      <c r="D789" t="s">
        <v>592</v>
      </c>
      <c r="E789">
        <v>4010</v>
      </c>
      <c r="F789" t="s">
        <v>101</v>
      </c>
      <c r="G789" t="s">
        <v>99</v>
      </c>
      <c r="H789" t="s">
        <v>218</v>
      </c>
      <c r="I789">
        <v>0</v>
      </c>
      <c r="J789">
        <v>42060.9</v>
      </c>
      <c r="K789" t="s">
        <v>593</v>
      </c>
      <c r="L789" t="s">
        <v>220</v>
      </c>
      <c r="N789" t="s">
        <v>191</v>
      </c>
    </row>
    <row r="790" spans="1:14" x14ac:dyDescent="0.45">
      <c r="A790">
        <v>789</v>
      </c>
      <c r="B790">
        <v>298</v>
      </c>
      <c r="C790" t="s">
        <v>72</v>
      </c>
      <c r="D790" t="s">
        <v>592</v>
      </c>
      <c r="E790">
        <v>4020</v>
      </c>
      <c r="F790" t="s">
        <v>103</v>
      </c>
      <c r="G790" t="s">
        <v>99</v>
      </c>
      <c r="H790" t="s">
        <v>218</v>
      </c>
      <c r="I790">
        <v>0</v>
      </c>
      <c r="J790">
        <v>33047.85</v>
      </c>
      <c r="K790" t="s">
        <v>593</v>
      </c>
      <c r="L790" t="s">
        <v>220</v>
      </c>
      <c r="N790" t="s">
        <v>191</v>
      </c>
    </row>
    <row r="791" spans="1:14" x14ac:dyDescent="0.45">
      <c r="A791">
        <v>790</v>
      </c>
      <c r="B791">
        <v>298</v>
      </c>
      <c r="C791" t="s">
        <v>72</v>
      </c>
      <c r="D791" t="s">
        <v>592</v>
      </c>
      <c r="E791">
        <v>4030</v>
      </c>
      <c r="F791" t="s">
        <v>105</v>
      </c>
      <c r="G791" t="s">
        <v>99</v>
      </c>
      <c r="H791" t="s">
        <v>218</v>
      </c>
      <c r="I791">
        <v>0</v>
      </c>
      <c r="J791">
        <v>25036.25</v>
      </c>
      <c r="K791" t="s">
        <v>593</v>
      </c>
      <c r="L791" t="s">
        <v>220</v>
      </c>
      <c r="N791" t="s">
        <v>191</v>
      </c>
    </row>
    <row r="792" spans="1:14" x14ac:dyDescent="0.45">
      <c r="A792">
        <v>791</v>
      </c>
      <c r="B792">
        <v>299</v>
      </c>
      <c r="C792" t="s">
        <v>72</v>
      </c>
      <c r="D792" t="s">
        <v>594</v>
      </c>
      <c r="E792">
        <v>1000</v>
      </c>
      <c r="F792" t="s">
        <v>77</v>
      </c>
      <c r="G792" t="s">
        <v>78</v>
      </c>
      <c r="H792" t="s">
        <v>218</v>
      </c>
      <c r="I792">
        <v>93231.9</v>
      </c>
      <c r="J792">
        <v>0</v>
      </c>
      <c r="K792" t="s">
        <v>595</v>
      </c>
      <c r="L792" t="s">
        <v>223</v>
      </c>
      <c r="N792" t="s">
        <v>191</v>
      </c>
    </row>
    <row r="793" spans="1:14" x14ac:dyDescent="0.45">
      <c r="A793">
        <v>792</v>
      </c>
      <c r="B793">
        <v>299</v>
      </c>
      <c r="C793" t="s">
        <v>72</v>
      </c>
      <c r="D793" t="s">
        <v>594</v>
      </c>
      <c r="E793">
        <v>1100</v>
      </c>
      <c r="F793" t="s">
        <v>80</v>
      </c>
      <c r="G793" t="s">
        <v>78</v>
      </c>
      <c r="H793" t="s">
        <v>218</v>
      </c>
      <c r="I793">
        <v>0</v>
      </c>
      <c r="J793">
        <v>93231.9</v>
      </c>
      <c r="K793" t="s">
        <v>595</v>
      </c>
      <c r="L793" t="s">
        <v>223</v>
      </c>
      <c r="N793" t="s">
        <v>191</v>
      </c>
    </row>
    <row r="794" spans="1:14" x14ac:dyDescent="0.45">
      <c r="A794">
        <v>793</v>
      </c>
      <c r="B794">
        <v>300</v>
      </c>
      <c r="C794" t="s">
        <v>72</v>
      </c>
      <c r="D794" t="s">
        <v>596</v>
      </c>
      <c r="E794">
        <v>5010</v>
      </c>
      <c r="F794" t="s">
        <v>112</v>
      </c>
      <c r="G794" t="s">
        <v>110</v>
      </c>
      <c r="H794" t="s">
        <v>218</v>
      </c>
      <c r="I794">
        <v>5687.58</v>
      </c>
      <c r="J794">
        <v>0</v>
      </c>
      <c r="K794" t="s">
        <v>597</v>
      </c>
      <c r="L794" t="s">
        <v>226</v>
      </c>
      <c r="N794" t="s">
        <v>191</v>
      </c>
    </row>
    <row r="795" spans="1:14" x14ac:dyDescent="0.45">
      <c r="A795">
        <v>794</v>
      </c>
      <c r="B795">
        <v>300</v>
      </c>
      <c r="C795" t="s">
        <v>72</v>
      </c>
      <c r="D795" t="s">
        <v>596</v>
      </c>
      <c r="E795">
        <v>5020</v>
      </c>
      <c r="F795" t="s">
        <v>114</v>
      </c>
      <c r="G795" t="s">
        <v>110</v>
      </c>
      <c r="H795" t="s">
        <v>218</v>
      </c>
      <c r="I795">
        <v>4653.4799999999996</v>
      </c>
      <c r="J795">
        <v>0</v>
      </c>
      <c r="K795" t="s">
        <v>597</v>
      </c>
      <c r="L795" t="s">
        <v>226</v>
      </c>
      <c r="N795" t="s">
        <v>191</v>
      </c>
    </row>
    <row r="796" spans="1:14" x14ac:dyDescent="0.45">
      <c r="A796">
        <v>795</v>
      </c>
      <c r="B796">
        <v>300</v>
      </c>
      <c r="C796" t="s">
        <v>72</v>
      </c>
      <c r="D796" t="s">
        <v>596</v>
      </c>
      <c r="E796">
        <v>1000</v>
      </c>
      <c r="F796" t="s">
        <v>77</v>
      </c>
      <c r="G796" t="s">
        <v>78</v>
      </c>
      <c r="H796" t="s">
        <v>218</v>
      </c>
      <c r="I796">
        <v>0</v>
      </c>
      <c r="J796">
        <v>7238.74</v>
      </c>
      <c r="K796" t="s">
        <v>597</v>
      </c>
      <c r="L796" t="s">
        <v>226</v>
      </c>
      <c r="N796" t="s">
        <v>191</v>
      </c>
    </row>
    <row r="797" spans="1:14" x14ac:dyDescent="0.45">
      <c r="A797">
        <v>796</v>
      </c>
      <c r="B797">
        <v>300</v>
      </c>
      <c r="C797" t="s">
        <v>72</v>
      </c>
      <c r="D797" t="s">
        <v>596</v>
      </c>
      <c r="E797">
        <v>2000</v>
      </c>
      <c r="F797" t="s">
        <v>88</v>
      </c>
      <c r="G797" t="s">
        <v>89</v>
      </c>
      <c r="H797" t="s">
        <v>218</v>
      </c>
      <c r="I797">
        <v>0</v>
      </c>
      <c r="J797">
        <v>3102.32</v>
      </c>
      <c r="K797" t="s">
        <v>597</v>
      </c>
      <c r="L797" t="s">
        <v>226</v>
      </c>
      <c r="N797" t="s">
        <v>191</v>
      </c>
    </row>
    <row r="798" spans="1:14" x14ac:dyDescent="0.45">
      <c r="A798">
        <v>797</v>
      </c>
      <c r="B798">
        <v>301</v>
      </c>
      <c r="C798" t="s">
        <v>72</v>
      </c>
      <c r="D798" t="s">
        <v>598</v>
      </c>
      <c r="E798">
        <v>6010</v>
      </c>
      <c r="F798" t="s">
        <v>119</v>
      </c>
      <c r="G798" t="s">
        <v>117</v>
      </c>
      <c r="H798" t="s">
        <v>218</v>
      </c>
      <c r="I798">
        <v>44936</v>
      </c>
      <c r="J798">
        <v>0</v>
      </c>
      <c r="K798" t="s">
        <v>599</v>
      </c>
      <c r="L798" t="s">
        <v>229</v>
      </c>
      <c r="N798" t="s">
        <v>191</v>
      </c>
    </row>
    <row r="799" spans="1:14" x14ac:dyDescent="0.45">
      <c r="A799">
        <v>798</v>
      </c>
      <c r="B799">
        <v>301</v>
      </c>
      <c r="C799" t="s">
        <v>72</v>
      </c>
      <c r="D799" t="s">
        <v>598</v>
      </c>
      <c r="E799">
        <v>6020</v>
      </c>
      <c r="F799" t="s">
        <v>121</v>
      </c>
      <c r="G799" t="s">
        <v>117</v>
      </c>
      <c r="H799" t="s">
        <v>218</v>
      </c>
      <c r="I799">
        <v>6291.04</v>
      </c>
      <c r="J799">
        <v>0</v>
      </c>
      <c r="K799" t="s">
        <v>599</v>
      </c>
      <c r="L799" t="s">
        <v>229</v>
      </c>
      <c r="N799" t="s">
        <v>191</v>
      </c>
    </row>
    <row r="800" spans="1:14" x14ac:dyDescent="0.45">
      <c r="A800">
        <v>799</v>
      </c>
      <c r="B800">
        <v>301</v>
      </c>
      <c r="C800" t="s">
        <v>72</v>
      </c>
      <c r="D800" t="s">
        <v>598</v>
      </c>
      <c r="E800">
        <v>1000</v>
      </c>
      <c r="F800" t="s">
        <v>77</v>
      </c>
      <c r="G800" t="s">
        <v>78</v>
      </c>
      <c r="H800" t="s">
        <v>218</v>
      </c>
      <c r="I800">
        <v>0</v>
      </c>
      <c r="J800">
        <v>51170.96</v>
      </c>
      <c r="K800" t="s">
        <v>599</v>
      </c>
      <c r="L800" t="s">
        <v>229</v>
      </c>
      <c r="N800" t="s">
        <v>191</v>
      </c>
    </row>
    <row r="801" spans="1:14" x14ac:dyDescent="0.45">
      <c r="A801">
        <v>800</v>
      </c>
      <c r="B801">
        <v>301</v>
      </c>
      <c r="C801" t="s">
        <v>72</v>
      </c>
      <c r="D801" t="s">
        <v>598</v>
      </c>
      <c r="E801">
        <v>2100</v>
      </c>
      <c r="F801" t="s">
        <v>91</v>
      </c>
      <c r="G801" t="s">
        <v>89</v>
      </c>
      <c r="H801" t="s">
        <v>218</v>
      </c>
      <c r="I801">
        <v>0</v>
      </c>
      <c r="J801">
        <v>5122.7</v>
      </c>
      <c r="K801" t="s">
        <v>599</v>
      </c>
      <c r="L801" t="s">
        <v>229</v>
      </c>
      <c r="N801" t="s">
        <v>191</v>
      </c>
    </row>
    <row r="802" spans="1:14" x14ac:dyDescent="0.45">
      <c r="A802">
        <v>801</v>
      </c>
      <c r="B802">
        <v>301</v>
      </c>
      <c r="C802" t="s">
        <v>72</v>
      </c>
      <c r="D802" t="s">
        <v>598</v>
      </c>
      <c r="E802">
        <v>2100</v>
      </c>
      <c r="F802" t="s">
        <v>91</v>
      </c>
      <c r="G802" t="s">
        <v>89</v>
      </c>
      <c r="H802" t="s">
        <v>218</v>
      </c>
      <c r="I802">
        <v>5066.62</v>
      </c>
      <c r="J802">
        <v>0</v>
      </c>
      <c r="K802" t="s">
        <v>599</v>
      </c>
      <c r="L802" t="s">
        <v>229</v>
      </c>
      <c r="N802" t="s">
        <v>191</v>
      </c>
    </row>
    <row r="803" spans="1:14" x14ac:dyDescent="0.45">
      <c r="A803">
        <v>802</v>
      </c>
      <c r="B803">
        <v>302</v>
      </c>
      <c r="C803" t="s">
        <v>72</v>
      </c>
      <c r="D803" t="s">
        <v>600</v>
      </c>
      <c r="E803">
        <v>6030</v>
      </c>
      <c r="F803" t="s">
        <v>123</v>
      </c>
      <c r="G803" t="s">
        <v>117</v>
      </c>
      <c r="H803" t="s">
        <v>218</v>
      </c>
      <c r="I803">
        <v>7072</v>
      </c>
      <c r="J803">
        <v>0</v>
      </c>
      <c r="K803" t="s">
        <v>601</v>
      </c>
      <c r="L803" t="s">
        <v>232</v>
      </c>
      <c r="N803" t="s">
        <v>191</v>
      </c>
    </row>
    <row r="804" spans="1:14" x14ac:dyDescent="0.45">
      <c r="A804">
        <v>803</v>
      </c>
      <c r="B804">
        <v>302</v>
      </c>
      <c r="C804" t="s">
        <v>72</v>
      </c>
      <c r="D804" t="s">
        <v>600</v>
      </c>
      <c r="E804">
        <v>1000</v>
      </c>
      <c r="F804" t="s">
        <v>77</v>
      </c>
      <c r="G804" t="s">
        <v>78</v>
      </c>
      <c r="H804" t="s">
        <v>218</v>
      </c>
      <c r="I804">
        <v>0</v>
      </c>
      <c r="J804">
        <v>7072</v>
      </c>
      <c r="K804" t="s">
        <v>601</v>
      </c>
      <c r="L804" t="s">
        <v>232</v>
      </c>
      <c r="N804" t="s">
        <v>191</v>
      </c>
    </row>
    <row r="805" spans="1:14" x14ac:dyDescent="0.45">
      <c r="A805">
        <v>804</v>
      </c>
      <c r="B805">
        <v>303</v>
      </c>
      <c r="C805" t="s">
        <v>72</v>
      </c>
      <c r="D805" t="s">
        <v>602</v>
      </c>
      <c r="E805">
        <v>6040</v>
      </c>
      <c r="F805" t="s">
        <v>125</v>
      </c>
      <c r="G805" t="s">
        <v>117</v>
      </c>
      <c r="H805" t="s">
        <v>218</v>
      </c>
      <c r="I805">
        <v>3178.2</v>
      </c>
      <c r="J805">
        <v>0</v>
      </c>
      <c r="K805" t="s">
        <v>603</v>
      </c>
      <c r="L805" t="s">
        <v>226</v>
      </c>
      <c r="N805" t="s">
        <v>191</v>
      </c>
    </row>
    <row r="806" spans="1:14" x14ac:dyDescent="0.45">
      <c r="A806">
        <v>805</v>
      </c>
      <c r="B806">
        <v>303</v>
      </c>
      <c r="C806" t="s">
        <v>72</v>
      </c>
      <c r="D806" t="s">
        <v>602</v>
      </c>
      <c r="E806">
        <v>1000</v>
      </c>
      <c r="F806" t="s">
        <v>77</v>
      </c>
      <c r="G806" t="s">
        <v>78</v>
      </c>
      <c r="H806" t="s">
        <v>218</v>
      </c>
      <c r="I806">
        <v>0</v>
      </c>
      <c r="J806">
        <v>2542.56</v>
      </c>
      <c r="K806" t="s">
        <v>603</v>
      </c>
      <c r="L806" t="s">
        <v>226</v>
      </c>
      <c r="N806" t="s">
        <v>191</v>
      </c>
    </row>
    <row r="807" spans="1:14" x14ac:dyDescent="0.45">
      <c r="A807">
        <v>806</v>
      </c>
      <c r="B807">
        <v>303</v>
      </c>
      <c r="C807" t="s">
        <v>72</v>
      </c>
      <c r="D807" t="s">
        <v>602</v>
      </c>
      <c r="E807">
        <v>2000</v>
      </c>
      <c r="F807" t="s">
        <v>88</v>
      </c>
      <c r="G807" t="s">
        <v>89</v>
      </c>
      <c r="H807" t="s">
        <v>218</v>
      </c>
      <c r="I807">
        <v>0</v>
      </c>
      <c r="J807">
        <v>635.64</v>
      </c>
      <c r="K807" t="s">
        <v>603</v>
      </c>
      <c r="L807" t="s">
        <v>226</v>
      </c>
      <c r="N807" t="s">
        <v>191</v>
      </c>
    </row>
    <row r="808" spans="1:14" x14ac:dyDescent="0.45">
      <c r="A808">
        <v>807</v>
      </c>
      <c r="B808">
        <v>304</v>
      </c>
      <c r="C808" t="s">
        <v>72</v>
      </c>
      <c r="D808" t="s">
        <v>600</v>
      </c>
      <c r="E808">
        <v>6050</v>
      </c>
      <c r="F808" t="s">
        <v>127</v>
      </c>
      <c r="G808" t="s">
        <v>117</v>
      </c>
      <c r="H808" t="s">
        <v>218</v>
      </c>
      <c r="I808">
        <v>1450</v>
      </c>
      <c r="J808">
        <v>0</v>
      </c>
      <c r="K808" t="s">
        <v>604</v>
      </c>
      <c r="L808" t="s">
        <v>236</v>
      </c>
      <c r="N808" t="s">
        <v>191</v>
      </c>
    </row>
    <row r="809" spans="1:14" x14ac:dyDescent="0.45">
      <c r="A809">
        <v>808</v>
      </c>
      <c r="B809">
        <v>304</v>
      </c>
      <c r="C809" t="s">
        <v>72</v>
      </c>
      <c r="D809" t="s">
        <v>600</v>
      </c>
      <c r="E809">
        <v>1200</v>
      </c>
      <c r="F809" t="s">
        <v>82</v>
      </c>
      <c r="G809" t="s">
        <v>78</v>
      </c>
      <c r="H809" t="s">
        <v>218</v>
      </c>
      <c r="I809">
        <v>0</v>
      </c>
      <c r="J809">
        <v>1450</v>
      </c>
      <c r="K809" t="s">
        <v>604</v>
      </c>
      <c r="L809" t="s">
        <v>236</v>
      </c>
      <c r="N809" t="s">
        <v>191</v>
      </c>
    </row>
    <row r="810" spans="1:14" x14ac:dyDescent="0.45">
      <c r="A810">
        <v>809</v>
      </c>
      <c r="B810">
        <v>305</v>
      </c>
      <c r="C810" t="s">
        <v>72</v>
      </c>
      <c r="D810" t="s">
        <v>605</v>
      </c>
      <c r="E810">
        <v>6060</v>
      </c>
      <c r="F810" t="s">
        <v>129</v>
      </c>
      <c r="G810" t="s">
        <v>117</v>
      </c>
      <c r="H810" t="s">
        <v>218</v>
      </c>
      <c r="I810">
        <v>2268</v>
      </c>
      <c r="J810">
        <v>0</v>
      </c>
      <c r="K810" t="s">
        <v>606</v>
      </c>
      <c r="L810" t="s">
        <v>232</v>
      </c>
      <c r="N810" t="s">
        <v>191</v>
      </c>
    </row>
    <row r="811" spans="1:14" x14ac:dyDescent="0.45">
      <c r="A811">
        <v>810</v>
      </c>
      <c r="B811">
        <v>305</v>
      </c>
      <c r="C811" t="s">
        <v>72</v>
      </c>
      <c r="D811" t="s">
        <v>605</v>
      </c>
      <c r="E811">
        <v>1000</v>
      </c>
      <c r="F811" t="s">
        <v>77</v>
      </c>
      <c r="G811" t="s">
        <v>78</v>
      </c>
      <c r="H811" t="s">
        <v>218</v>
      </c>
      <c r="I811">
        <v>0</v>
      </c>
      <c r="J811">
        <v>2268</v>
      </c>
      <c r="K811" t="s">
        <v>606</v>
      </c>
      <c r="L811" t="s">
        <v>232</v>
      </c>
      <c r="N811" t="s">
        <v>191</v>
      </c>
    </row>
    <row r="812" spans="1:14" x14ac:dyDescent="0.45">
      <c r="A812">
        <v>811</v>
      </c>
      <c r="B812">
        <v>306</v>
      </c>
      <c r="C812" t="s">
        <v>72</v>
      </c>
      <c r="D812" t="s">
        <v>598</v>
      </c>
      <c r="E812">
        <v>7000</v>
      </c>
      <c r="F812" t="s">
        <v>133</v>
      </c>
      <c r="G812" t="s">
        <v>117</v>
      </c>
      <c r="H812" t="s">
        <v>218</v>
      </c>
      <c r="I812">
        <v>1100</v>
      </c>
      <c r="J812">
        <v>0</v>
      </c>
      <c r="K812" t="s">
        <v>607</v>
      </c>
      <c r="L812" t="s">
        <v>241</v>
      </c>
      <c r="N812" t="s">
        <v>191</v>
      </c>
    </row>
    <row r="813" spans="1:14" x14ac:dyDescent="0.45">
      <c r="A813">
        <v>812</v>
      </c>
      <c r="B813">
        <v>306</v>
      </c>
      <c r="C813" t="s">
        <v>72</v>
      </c>
      <c r="D813" t="s">
        <v>598</v>
      </c>
      <c r="E813">
        <v>1500</v>
      </c>
      <c r="F813" t="s">
        <v>86</v>
      </c>
      <c r="G813" t="s">
        <v>78</v>
      </c>
      <c r="H813" t="s">
        <v>218</v>
      </c>
      <c r="I813">
        <v>0</v>
      </c>
      <c r="J813">
        <v>1100</v>
      </c>
      <c r="K813" t="s">
        <v>607</v>
      </c>
      <c r="L813" t="s">
        <v>241</v>
      </c>
      <c r="N813" t="s">
        <v>191</v>
      </c>
    </row>
    <row r="814" spans="1:14" x14ac:dyDescent="0.45">
      <c r="A814">
        <v>813</v>
      </c>
      <c r="B814">
        <v>307</v>
      </c>
      <c r="C814" t="s">
        <v>72</v>
      </c>
      <c r="D814" t="s">
        <v>608</v>
      </c>
      <c r="E814">
        <v>2000</v>
      </c>
      <c r="F814" t="s">
        <v>88</v>
      </c>
      <c r="G814" t="s">
        <v>89</v>
      </c>
      <c r="H814" t="s">
        <v>218</v>
      </c>
      <c r="I814">
        <v>3415.98</v>
      </c>
      <c r="J814">
        <v>0</v>
      </c>
      <c r="K814" t="s">
        <v>609</v>
      </c>
      <c r="L814" t="s">
        <v>232</v>
      </c>
      <c r="N814" t="s">
        <v>191</v>
      </c>
    </row>
    <row r="815" spans="1:14" x14ac:dyDescent="0.45">
      <c r="A815">
        <v>814</v>
      </c>
      <c r="B815">
        <v>307</v>
      </c>
      <c r="C815" t="s">
        <v>72</v>
      </c>
      <c r="D815" t="s">
        <v>608</v>
      </c>
      <c r="E815">
        <v>1000</v>
      </c>
      <c r="F815" t="s">
        <v>77</v>
      </c>
      <c r="G815" t="s">
        <v>78</v>
      </c>
      <c r="H815" t="s">
        <v>218</v>
      </c>
      <c r="I815">
        <v>0</v>
      </c>
      <c r="J815">
        <v>3415.98</v>
      </c>
      <c r="K815" t="s">
        <v>609</v>
      </c>
      <c r="L815" t="s">
        <v>232</v>
      </c>
      <c r="N815" t="s">
        <v>191</v>
      </c>
    </row>
    <row r="816" spans="1:14" x14ac:dyDescent="0.45">
      <c r="A816">
        <v>815</v>
      </c>
      <c r="B816">
        <v>308</v>
      </c>
      <c r="C816" t="s">
        <v>73</v>
      </c>
      <c r="D816" t="s">
        <v>592</v>
      </c>
      <c r="E816">
        <v>1100</v>
      </c>
      <c r="F816" t="s">
        <v>80</v>
      </c>
      <c r="G816" t="s">
        <v>78</v>
      </c>
      <c r="H816" t="s">
        <v>218</v>
      </c>
      <c r="I816">
        <v>68696.42</v>
      </c>
      <c r="J816">
        <v>0</v>
      </c>
      <c r="K816" t="s">
        <v>610</v>
      </c>
      <c r="L816" t="s">
        <v>220</v>
      </c>
      <c r="N816" t="s">
        <v>191</v>
      </c>
    </row>
    <row r="817" spans="1:14" x14ac:dyDescent="0.45">
      <c r="A817">
        <v>816</v>
      </c>
      <c r="B817">
        <v>308</v>
      </c>
      <c r="C817" t="s">
        <v>73</v>
      </c>
      <c r="D817" t="s">
        <v>592</v>
      </c>
      <c r="E817">
        <v>4010</v>
      </c>
      <c r="F817" t="s">
        <v>101</v>
      </c>
      <c r="G817" t="s">
        <v>99</v>
      </c>
      <c r="H817" t="s">
        <v>218</v>
      </c>
      <c r="I817">
        <v>0</v>
      </c>
      <c r="J817">
        <v>28852.5</v>
      </c>
      <c r="K817" t="s">
        <v>610</v>
      </c>
      <c r="L817" t="s">
        <v>220</v>
      </c>
      <c r="N817" t="s">
        <v>191</v>
      </c>
    </row>
    <row r="818" spans="1:14" x14ac:dyDescent="0.45">
      <c r="A818">
        <v>817</v>
      </c>
      <c r="B818">
        <v>308</v>
      </c>
      <c r="C818" t="s">
        <v>73</v>
      </c>
      <c r="D818" t="s">
        <v>592</v>
      </c>
      <c r="E818">
        <v>4020</v>
      </c>
      <c r="F818" t="s">
        <v>103</v>
      </c>
      <c r="G818" t="s">
        <v>99</v>
      </c>
      <c r="H818" t="s">
        <v>218</v>
      </c>
      <c r="I818">
        <v>0</v>
      </c>
      <c r="J818">
        <v>22669.82</v>
      </c>
      <c r="K818" t="s">
        <v>610</v>
      </c>
      <c r="L818" t="s">
        <v>220</v>
      </c>
      <c r="N818" t="s">
        <v>191</v>
      </c>
    </row>
    <row r="819" spans="1:14" x14ac:dyDescent="0.45">
      <c r="A819">
        <v>818</v>
      </c>
      <c r="B819">
        <v>308</v>
      </c>
      <c r="C819" t="s">
        <v>73</v>
      </c>
      <c r="D819" t="s">
        <v>592</v>
      </c>
      <c r="E819">
        <v>4030</v>
      </c>
      <c r="F819" t="s">
        <v>105</v>
      </c>
      <c r="G819" t="s">
        <v>99</v>
      </c>
      <c r="H819" t="s">
        <v>218</v>
      </c>
      <c r="I819">
        <v>0</v>
      </c>
      <c r="J819">
        <v>17174.099999999999</v>
      </c>
      <c r="K819" t="s">
        <v>610</v>
      </c>
      <c r="L819" t="s">
        <v>220</v>
      </c>
      <c r="N819" t="s">
        <v>191</v>
      </c>
    </row>
    <row r="820" spans="1:14" x14ac:dyDescent="0.45">
      <c r="A820">
        <v>819</v>
      </c>
      <c r="B820">
        <v>309</v>
      </c>
      <c r="C820" t="s">
        <v>73</v>
      </c>
      <c r="D820" t="s">
        <v>594</v>
      </c>
      <c r="E820">
        <v>1000</v>
      </c>
      <c r="F820" t="s">
        <v>77</v>
      </c>
      <c r="G820" t="s">
        <v>78</v>
      </c>
      <c r="H820" t="s">
        <v>218</v>
      </c>
      <c r="I820">
        <v>61266.73</v>
      </c>
      <c r="J820">
        <v>0</v>
      </c>
      <c r="K820" t="s">
        <v>611</v>
      </c>
      <c r="L820" t="s">
        <v>223</v>
      </c>
      <c r="N820" t="s">
        <v>191</v>
      </c>
    </row>
    <row r="821" spans="1:14" x14ac:dyDescent="0.45">
      <c r="A821">
        <v>820</v>
      </c>
      <c r="B821">
        <v>309</v>
      </c>
      <c r="C821" t="s">
        <v>73</v>
      </c>
      <c r="D821" t="s">
        <v>594</v>
      </c>
      <c r="E821">
        <v>1100</v>
      </c>
      <c r="F821" t="s">
        <v>80</v>
      </c>
      <c r="G821" t="s">
        <v>78</v>
      </c>
      <c r="H821" t="s">
        <v>218</v>
      </c>
      <c r="I821">
        <v>0</v>
      </c>
      <c r="J821">
        <v>61266.73</v>
      </c>
      <c r="K821" t="s">
        <v>611</v>
      </c>
      <c r="L821" t="s">
        <v>223</v>
      </c>
      <c r="N821" t="s">
        <v>191</v>
      </c>
    </row>
    <row r="822" spans="1:14" x14ac:dyDescent="0.45">
      <c r="A822">
        <v>821</v>
      </c>
      <c r="B822">
        <v>310</v>
      </c>
      <c r="C822" t="s">
        <v>73</v>
      </c>
      <c r="D822" t="s">
        <v>596</v>
      </c>
      <c r="E822">
        <v>5010</v>
      </c>
      <c r="F822" t="s">
        <v>112</v>
      </c>
      <c r="G822" t="s">
        <v>110</v>
      </c>
      <c r="H822" t="s">
        <v>218</v>
      </c>
      <c r="I822">
        <v>3901.51</v>
      </c>
      <c r="J822">
        <v>0</v>
      </c>
      <c r="K822" t="s">
        <v>612</v>
      </c>
      <c r="L822" t="s">
        <v>226</v>
      </c>
      <c r="N822" t="s">
        <v>191</v>
      </c>
    </row>
    <row r="823" spans="1:14" x14ac:dyDescent="0.45">
      <c r="A823">
        <v>822</v>
      </c>
      <c r="B823">
        <v>310</v>
      </c>
      <c r="C823" t="s">
        <v>73</v>
      </c>
      <c r="D823" t="s">
        <v>596</v>
      </c>
      <c r="E823">
        <v>5020</v>
      </c>
      <c r="F823" t="s">
        <v>114</v>
      </c>
      <c r="G823" t="s">
        <v>110</v>
      </c>
      <c r="H823" t="s">
        <v>218</v>
      </c>
      <c r="I823">
        <v>3192.14</v>
      </c>
      <c r="J823">
        <v>0</v>
      </c>
      <c r="K823" t="s">
        <v>612</v>
      </c>
      <c r="L823" t="s">
        <v>226</v>
      </c>
      <c r="N823" t="s">
        <v>191</v>
      </c>
    </row>
    <row r="824" spans="1:14" x14ac:dyDescent="0.45">
      <c r="A824">
        <v>823</v>
      </c>
      <c r="B824">
        <v>310</v>
      </c>
      <c r="C824" t="s">
        <v>73</v>
      </c>
      <c r="D824" t="s">
        <v>596</v>
      </c>
      <c r="E824">
        <v>1000</v>
      </c>
      <c r="F824" t="s">
        <v>77</v>
      </c>
      <c r="G824" t="s">
        <v>78</v>
      </c>
      <c r="H824" t="s">
        <v>218</v>
      </c>
      <c r="I824">
        <v>0</v>
      </c>
      <c r="J824">
        <v>4965.55</v>
      </c>
      <c r="K824" t="s">
        <v>612</v>
      </c>
      <c r="L824" t="s">
        <v>226</v>
      </c>
      <c r="N824" t="s">
        <v>191</v>
      </c>
    </row>
    <row r="825" spans="1:14" x14ac:dyDescent="0.45">
      <c r="A825">
        <v>824</v>
      </c>
      <c r="B825">
        <v>310</v>
      </c>
      <c r="C825" t="s">
        <v>73</v>
      </c>
      <c r="D825" t="s">
        <v>596</v>
      </c>
      <c r="E825">
        <v>2000</v>
      </c>
      <c r="F825" t="s">
        <v>88</v>
      </c>
      <c r="G825" t="s">
        <v>89</v>
      </c>
      <c r="H825" t="s">
        <v>218</v>
      </c>
      <c r="I825">
        <v>0</v>
      </c>
      <c r="J825">
        <v>2128.1</v>
      </c>
      <c r="K825" t="s">
        <v>612</v>
      </c>
      <c r="L825" t="s">
        <v>226</v>
      </c>
      <c r="N825" t="s">
        <v>191</v>
      </c>
    </row>
    <row r="826" spans="1:14" x14ac:dyDescent="0.45">
      <c r="A826">
        <v>825</v>
      </c>
      <c r="B826">
        <v>311</v>
      </c>
      <c r="C826" t="s">
        <v>73</v>
      </c>
      <c r="D826" t="s">
        <v>598</v>
      </c>
      <c r="E826">
        <v>6010</v>
      </c>
      <c r="F826" t="s">
        <v>119</v>
      </c>
      <c r="G826" t="s">
        <v>117</v>
      </c>
      <c r="H826" t="s">
        <v>218</v>
      </c>
      <c r="I826">
        <v>27860.32</v>
      </c>
      <c r="J826">
        <v>0</v>
      </c>
      <c r="K826" t="s">
        <v>613</v>
      </c>
      <c r="L826" t="s">
        <v>229</v>
      </c>
      <c r="N826" t="s">
        <v>191</v>
      </c>
    </row>
    <row r="827" spans="1:14" x14ac:dyDescent="0.45">
      <c r="A827">
        <v>826</v>
      </c>
      <c r="B827">
        <v>311</v>
      </c>
      <c r="C827" t="s">
        <v>73</v>
      </c>
      <c r="D827" t="s">
        <v>598</v>
      </c>
      <c r="E827">
        <v>6020</v>
      </c>
      <c r="F827" t="s">
        <v>121</v>
      </c>
      <c r="G827" t="s">
        <v>117</v>
      </c>
      <c r="H827" t="s">
        <v>218</v>
      </c>
      <c r="I827">
        <v>3900.44</v>
      </c>
      <c r="J827">
        <v>0</v>
      </c>
      <c r="K827" t="s">
        <v>613</v>
      </c>
      <c r="L827" t="s">
        <v>229</v>
      </c>
      <c r="N827" t="s">
        <v>191</v>
      </c>
    </row>
    <row r="828" spans="1:14" x14ac:dyDescent="0.45">
      <c r="A828">
        <v>827</v>
      </c>
      <c r="B828">
        <v>311</v>
      </c>
      <c r="C828" t="s">
        <v>73</v>
      </c>
      <c r="D828" t="s">
        <v>598</v>
      </c>
      <c r="E828">
        <v>1000</v>
      </c>
      <c r="F828" t="s">
        <v>77</v>
      </c>
      <c r="G828" t="s">
        <v>78</v>
      </c>
      <c r="H828" t="s">
        <v>218</v>
      </c>
      <c r="I828">
        <v>0</v>
      </c>
      <c r="J828">
        <v>31725.98</v>
      </c>
      <c r="K828" t="s">
        <v>613</v>
      </c>
      <c r="L828" t="s">
        <v>229</v>
      </c>
      <c r="N828" t="s">
        <v>191</v>
      </c>
    </row>
    <row r="829" spans="1:14" x14ac:dyDescent="0.45">
      <c r="A829">
        <v>828</v>
      </c>
      <c r="B829">
        <v>311</v>
      </c>
      <c r="C829" t="s">
        <v>73</v>
      </c>
      <c r="D829" t="s">
        <v>598</v>
      </c>
      <c r="E829">
        <v>2100</v>
      </c>
      <c r="F829" t="s">
        <v>91</v>
      </c>
      <c r="G829" t="s">
        <v>89</v>
      </c>
      <c r="H829" t="s">
        <v>218</v>
      </c>
      <c r="I829">
        <v>0</v>
      </c>
      <c r="J829">
        <v>3176.08</v>
      </c>
      <c r="K829" t="s">
        <v>613</v>
      </c>
      <c r="L829" t="s">
        <v>229</v>
      </c>
      <c r="N829" t="s">
        <v>191</v>
      </c>
    </row>
    <row r="830" spans="1:14" x14ac:dyDescent="0.45">
      <c r="A830">
        <v>829</v>
      </c>
      <c r="B830">
        <v>311</v>
      </c>
      <c r="C830" t="s">
        <v>73</v>
      </c>
      <c r="D830" t="s">
        <v>598</v>
      </c>
      <c r="E830">
        <v>2100</v>
      </c>
      <c r="F830" t="s">
        <v>91</v>
      </c>
      <c r="G830" t="s">
        <v>89</v>
      </c>
      <c r="H830" t="s">
        <v>218</v>
      </c>
      <c r="I830">
        <v>3141.3</v>
      </c>
      <c r="J830">
        <v>0</v>
      </c>
      <c r="K830" t="s">
        <v>613</v>
      </c>
      <c r="L830" t="s">
        <v>229</v>
      </c>
      <c r="N830" t="s">
        <v>191</v>
      </c>
    </row>
    <row r="831" spans="1:14" x14ac:dyDescent="0.45">
      <c r="A831">
        <v>830</v>
      </c>
      <c r="B831">
        <v>312</v>
      </c>
      <c r="C831" t="s">
        <v>73</v>
      </c>
      <c r="D831" t="s">
        <v>600</v>
      </c>
      <c r="E831">
        <v>6030</v>
      </c>
      <c r="F831" t="s">
        <v>123</v>
      </c>
      <c r="G831" t="s">
        <v>117</v>
      </c>
      <c r="H831" t="s">
        <v>218</v>
      </c>
      <c r="I831">
        <v>4384.6400000000003</v>
      </c>
      <c r="J831">
        <v>0</v>
      </c>
      <c r="K831" t="s">
        <v>614</v>
      </c>
      <c r="L831" t="s">
        <v>232</v>
      </c>
      <c r="N831" t="s">
        <v>191</v>
      </c>
    </row>
    <row r="832" spans="1:14" x14ac:dyDescent="0.45">
      <c r="A832">
        <v>831</v>
      </c>
      <c r="B832">
        <v>312</v>
      </c>
      <c r="C832" t="s">
        <v>73</v>
      </c>
      <c r="D832" t="s">
        <v>600</v>
      </c>
      <c r="E832">
        <v>1000</v>
      </c>
      <c r="F832" t="s">
        <v>77</v>
      </c>
      <c r="G832" t="s">
        <v>78</v>
      </c>
      <c r="H832" t="s">
        <v>218</v>
      </c>
      <c r="I832">
        <v>0</v>
      </c>
      <c r="J832">
        <v>4384.6400000000003</v>
      </c>
      <c r="K832" t="s">
        <v>614</v>
      </c>
      <c r="L832" t="s">
        <v>232</v>
      </c>
      <c r="N832" t="s">
        <v>191</v>
      </c>
    </row>
    <row r="833" spans="1:14" x14ac:dyDescent="0.45">
      <c r="A833">
        <v>832</v>
      </c>
      <c r="B833">
        <v>313</v>
      </c>
      <c r="C833" t="s">
        <v>73</v>
      </c>
      <c r="D833" t="s">
        <v>602</v>
      </c>
      <c r="E833">
        <v>6040</v>
      </c>
      <c r="F833" t="s">
        <v>125</v>
      </c>
      <c r="G833" t="s">
        <v>117</v>
      </c>
      <c r="H833" t="s">
        <v>218</v>
      </c>
      <c r="I833">
        <v>2180.15</v>
      </c>
      <c r="J833">
        <v>0</v>
      </c>
      <c r="K833" t="s">
        <v>615</v>
      </c>
      <c r="L833" t="s">
        <v>226</v>
      </c>
      <c r="N833" t="s">
        <v>191</v>
      </c>
    </row>
    <row r="834" spans="1:14" x14ac:dyDescent="0.45">
      <c r="A834">
        <v>833</v>
      </c>
      <c r="B834">
        <v>313</v>
      </c>
      <c r="C834" t="s">
        <v>73</v>
      </c>
      <c r="D834" t="s">
        <v>602</v>
      </c>
      <c r="E834">
        <v>1000</v>
      </c>
      <c r="F834" t="s">
        <v>77</v>
      </c>
      <c r="G834" t="s">
        <v>78</v>
      </c>
      <c r="H834" t="s">
        <v>218</v>
      </c>
      <c r="I834">
        <v>0</v>
      </c>
      <c r="J834">
        <v>1744.12</v>
      </c>
      <c r="K834" t="s">
        <v>615</v>
      </c>
      <c r="L834" t="s">
        <v>226</v>
      </c>
      <c r="N834" t="s">
        <v>191</v>
      </c>
    </row>
    <row r="835" spans="1:14" x14ac:dyDescent="0.45">
      <c r="A835">
        <v>834</v>
      </c>
      <c r="B835">
        <v>313</v>
      </c>
      <c r="C835" t="s">
        <v>73</v>
      </c>
      <c r="D835" t="s">
        <v>602</v>
      </c>
      <c r="E835">
        <v>2000</v>
      </c>
      <c r="F835" t="s">
        <v>88</v>
      </c>
      <c r="G835" t="s">
        <v>89</v>
      </c>
      <c r="H835" t="s">
        <v>218</v>
      </c>
      <c r="I835">
        <v>0</v>
      </c>
      <c r="J835">
        <v>436.03</v>
      </c>
      <c r="K835" t="s">
        <v>615</v>
      </c>
      <c r="L835" t="s">
        <v>226</v>
      </c>
      <c r="N835" t="s">
        <v>191</v>
      </c>
    </row>
    <row r="836" spans="1:14" x14ac:dyDescent="0.45">
      <c r="A836">
        <v>835</v>
      </c>
      <c r="B836">
        <v>314</v>
      </c>
      <c r="C836" t="s">
        <v>73</v>
      </c>
      <c r="D836" t="s">
        <v>600</v>
      </c>
      <c r="E836">
        <v>6050</v>
      </c>
      <c r="F836" t="s">
        <v>127</v>
      </c>
      <c r="G836" t="s">
        <v>117</v>
      </c>
      <c r="H836" t="s">
        <v>218</v>
      </c>
      <c r="I836">
        <v>899</v>
      </c>
      <c r="J836">
        <v>0</v>
      </c>
      <c r="K836" t="s">
        <v>616</v>
      </c>
      <c r="L836" t="s">
        <v>236</v>
      </c>
      <c r="N836" t="s">
        <v>191</v>
      </c>
    </row>
    <row r="837" spans="1:14" x14ac:dyDescent="0.45">
      <c r="A837">
        <v>836</v>
      </c>
      <c r="B837">
        <v>314</v>
      </c>
      <c r="C837" t="s">
        <v>73</v>
      </c>
      <c r="D837" t="s">
        <v>600</v>
      </c>
      <c r="E837">
        <v>1200</v>
      </c>
      <c r="F837" t="s">
        <v>82</v>
      </c>
      <c r="G837" t="s">
        <v>78</v>
      </c>
      <c r="H837" t="s">
        <v>218</v>
      </c>
      <c r="I837">
        <v>0</v>
      </c>
      <c r="J837">
        <v>899</v>
      </c>
      <c r="K837" t="s">
        <v>616</v>
      </c>
      <c r="L837" t="s">
        <v>236</v>
      </c>
      <c r="N837" t="s">
        <v>191</v>
      </c>
    </row>
    <row r="838" spans="1:14" x14ac:dyDescent="0.45">
      <c r="A838">
        <v>837</v>
      </c>
      <c r="B838">
        <v>315</v>
      </c>
      <c r="C838" t="s">
        <v>73</v>
      </c>
      <c r="D838" t="s">
        <v>605</v>
      </c>
      <c r="E838">
        <v>6060</v>
      </c>
      <c r="F838" t="s">
        <v>129</v>
      </c>
      <c r="G838" t="s">
        <v>117</v>
      </c>
      <c r="H838" t="s">
        <v>218</v>
      </c>
      <c r="I838">
        <v>1406.16</v>
      </c>
      <c r="J838">
        <v>0</v>
      </c>
      <c r="K838" t="s">
        <v>617</v>
      </c>
      <c r="L838" t="s">
        <v>232</v>
      </c>
      <c r="N838" t="s">
        <v>191</v>
      </c>
    </row>
    <row r="839" spans="1:14" x14ac:dyDescent="0.45">
      <c r="A839">
        <v>838</v>
      </c>
      <c r="B839">
        <v>315</v>
      </c>
      <c r="C839" t="s">
        <v>73</v>
      </c>
      <c r="D839" t="s">
        <v>605</v>
      </c>
      <c r="E839">
        <v>1000</v>
      </c>
      <c r="F839" t="s">
        <v>77</v>
      </c>
      <c r="G839" t="s">
        <v>78</v>
      </c>
      <c r="H839" t="s">
        <v>218</v>
      </c>
      <c r="I839">
        <v>0</v>
      </c>
      <c r="J839">
        <v>1406.16</v>
      </c>
      <c r="K839" t="s">
        <v>617</v>
      </c>
      <c r="L839" t="s">
        <v>232</v>
      </c>
      <c r="N839" t="s">
        <v>191</v>
      </c>
    </row>
    <row r="840" spans="1:14" x14ac:dyDescent="0.45">
      <c r="A840">
        <v>839</v>
      </c>
      <c r="B840">
        <v>316</v>
      </c>
      <c r="C840" t="s">
        <v>73</v>
      </c>
      <c r="D840" t="s">
        <v>598</v>
      </c>
      <c r="E840">
        <v>7000</v>
      </c>
      <c r="F840" t="s">
        <v>133</v>
      </c>
      <c r="G840" t="s">
        <v>117</v>
      </c>
      <c r="H840" t="s">
        <v>218</v>
      </c>
      <c r="I840">
        <v>682</v>
      </c>
      <c r="J840">
        <v>0</v>
      </c>
      <c r="K840" t="s">
        <v>618</v>
      </c>
      <c r="L840" t="s">
        <v>241</v>
      </c>
      <c r="N840" t="s">
        <v>191</v>
      </c>
    </row>
    <row r="841" spans="1:14" x14ac:dyDescent="0.45">
      <c r="A841">
        <v>840</v>
      </c>
      <c r="B841">
        <v>316</v>
      </c>
      <c r="C841" t="s">
        <v>73</v>
      </c>
      <c r="D841" t="s">
        <v>598</v>
      </c>
      <c r="E841">
        <v>1500</v>
      </c>
      <c r="F841" t="s">
        <v>86</v>
      </c>
      <c r="G841" t="s">
        <v>78</v>
      </c>
      <c r="H841" t="s">
        <v>218</v>
      </c>
      <c r="I841">
        <v>0</v>
      </c>
      <c r="J841">
        <v>682</v>
      </c>
      <c r="K841" t="s">
        <v>618</v>
      </c>
      <c r="L841" t="s">
        <v>241</v>
      </c>
      <c r="N841" t="s">
        <v>191</v>
      </c>
    </row>
    <row r="842" spans="1:14" x14ac:dyDescent="0.45">
      <c r="A842">
        <v>841</v>
      </c>
      <c r="B842">
        <v>317</v>
      </c>
      <c r="C842" t="s">
        <v>73</v>
      </c>
      <c r="D842" t="s">
        <v>608</v>
      </c>
      <c r="E842">
        <v>2000</v>
      </c>
      <c r="F842" t="s">
        <v>88</v>
      </c>
      <c r="G842" t="s">
        <v>89</v>
      </c>
      <c r="H842" t="s">
        <v>218</v>
      </c>
      <c r="I842">
        <v>2505.12</v>
      </c>
      <c r="J842">
        <v>0</v>
      </c>
      <c r="K842" t="s">
        <v>619</v>
      </c>
      <c r="L842" t="s">
        <v>232</v>
      </c>
      <c r="N842" t="s">
        <v>191</v>
      </c>
    </row>
    <row r="843" spans="1:14" x14ac:dyDescent="0.45">
      <c r="A843">
        <v>842</v>
      </c>
      <c r="B843">
        <v>317</v>
      </c>
      <c r="C843" t="s">
        <v>73</v>
      </c>
      <c r="D843" t="s">
        <v>608</v>
      </c>
      <c r="E843">
        <v>1000</v>
      </c>
      <c r="F843" t="s">
        <v>77</v>
      </c>
      <c r="G843" t="s">
        <v>78</v>
      </c>
      <c r="H843" t="s">
        <v>218</v>
      </c>
      <c r="I843">
        <v>0</v>
      </c>
      <c r="J843">
        <v>2505.12</v>
      </c>
      <c r="K843" t="s">
        <v>619</v>
      </c>
      <c r="L843" t="s">
        <v>232</v>
      </c>
      <c r="N843" t="s">
        <v>191</v>
      </c>
    </row>
    <row r="844" spans="1:14" x14ac:dyDescent="0.45">
      <c r="A844">
        <v>843</v>
      </c>
      <c r="B844">
        <v>318</v>
      </c>
      <c r="C844" t="s">
        <v>74</v>
      </c>
      <c r="D844" t="s">
        <v>592</v>
      </c>
      <c r="E844">
        <v>1100</v>
      </c>
      <c r="F844" t="s">
        <v>80</v>
      </c>
      <c r="G844" t="s">
        <v>78</v>
      </c>
      <c r="H844" t="s">
        <v>218</v>
      </c>
      <c r="I844">
        <v>52956.27</v>
      </c>
      <c r="J844">
        <v>0</v>
      </c>
      <c r="K844" t="s">
        <v>620</v>
      </c>
      <c r="L844" t="s">
        <v>220</v>
      </c>
      <c r="N844" t="s">
        <v>191</v>
      </c>
    </row>
    <row r="845" spans="1:14" x14ac:dyDescent="0.45">
      <c r="A845">
        <v>844</v>
      </c>
      <c r="B845">
        <v>318</v>
      </c>
      <c r="C845" t="s">
        <v>74</v>
      </c>
      <c r="D845" t="s">
        <v>592</v>
      </c>
      <c r="E845">
        <v>4010</v>
      </c>
      <c r="F845" t="s">
        <v>101</v>
      </c>
      <c r="G845" t="s">
        <v>99</v>
      </c>
      <c r="H845" t="s">
        <v>218</v>
      </c>
      <c r="I845">
        <v>0</v>
      </c>
      <c r="J845">
        <v>22241.63</v>
      </c>
      <c r="K845" t="s">
        <v>620</v>
      </c>
      <c r="L845" t="s">
        <v>220</v>
      </c>
      <c r="N845" t="s">
        <v>191</v>
      </c>
    </row>
    <row r="846" spans="1:14" x14ac:dyDescent="0.45">
      <c r="A846">
        <v>845</v>
      </c>
      <c r="B846">
        <v>318</v>
      </c>
      <c r="C846" t="s">
        <v>74</v>
      </c>
      <c r="D846" t="s">
        <v>592</v>
      </c>
      <c r="E846">
        <v>4020</v>
      </c>
      <c r="F846" t="s">
        <v>103</v>
      </c>
      <c r="G846" t="s">
        <v>99</v>
      </c>
      <c r="H846" t="s">
        <v>218</v>
      </c>
      <c r="I846">
        <v>0</v>
      </c>
      <c r="J846">
        <v>17475.57</v>
      </c>
      <c r="K846" t="s">
        <v>620</v>
      </c>
      <c r="L846" t="s">
        <v>220</v>
      </c>
      <c r="N846" t="s">
        <v>191</v>
      </c>
    </row>
    <row r="847" spans="1:14" x14ac:dyDescent="0.45">
      <c r="A847">
        <v>846</v>
      </c>
      <c r="B847">
        <v>318</v>
      </c>
      <c r="C847" t="s">
        <v>74</v>
      </c>
      <c r="D847" t="s">
        <v>592</v>
      </c>
      <c r="E847">
        <v>4030</v>
      </c>
      <c r="F847" t="s">
        <v>105</v>
      </c>
      <c r="G847" t="s">
        <v>99</v>
      </c>
      <c r="H847" t="s">
        <v>218</v>
      </c>
      <c r="I847">
        <v>0</v>
      </c>
      <c r="J847">
        <v>13239.07</v>
      </c>
      <c r="K847" t="s">
        <v>620</v>
      </c>
      <c r="L847" t="s">
        <v>220</v>
      </c>
      <c r="N847" t="s">
        <v>191</v>
      </c>
    </row>
    <row r="848" spans="1:14" x14ac:dyDescent="0.45">
      <c r="A848">
        <v>847</v>
      </c>
      <c r="B848">
        <v>319</v>
      </c>
      <c r="C848" t="s">
        <v>74</v>
      </c>
      <c r="D848" t="s">
        <v>594</v>
      </c>
      <c r="E848">
        <v>1000</v>
      </c>
      <c r="F848" t="s">
        <v>77</v>
      </c>
      <c r="G848" t="s">
        <v>78</v>
      </c>
      <c r="H848" t="s">
        <v>218</v>
      </c>
      <c r="I848">
        <v>48323.14</v>
      </c>
      <c r="J848">
        <v>0</v>
      </c>
      <c r="K848" t="s">
        <v>621</v>
      </c>
      <c r="L848" t="s">
        <v>223</v>
      </c>
      <c r="N848" t="s">
        <v>191</v>
      </c>
    </row>
    <row r="849" spans="1:14" x14ac:dyDescent="0.45">
      <c r="A849">
        <v>848</v>
      </c>
      <c r="B849">
        <v>319</v>
      </c>
      <c r="C849" t="s">
        <v>74</v>
      </c>
      <c r="D849" t="s">
        <v>594</v>
      </c>
      <c r="E849">
        <v>1100</v>
      </c>
      <c r="F849" t="s">
        <v>80</v>
      </c>
      <c r="G849" t="s">
        <v>78</v>
      </c>
      <c r="H849" t="s">
        <v>218</v>
      </c>
      <c r="I849">
        <v>0</v>
      </c>
      <c r="J849">
        <v>48323.14</v>
      </c>
      <c r="K849" t="s">
        <v>621</v>
      </c>
      <c r="L849" t="s">
        <v>223</v>
      </c>
      <c r="N849" t="s">
        <v>191</v>
      </c>
    </row>
    <row r="850" spans="1:14" x14ac:dyDescent="0.45">
      <c r="A850">
        <v>849</v>
      </c>
      <c r="B850">
        <v>320</v>
      </c>
      <c r="C850" t="s">
        <v>74</v>
      </c>
      <c r="D850" t="s">
        <v>596</v>
      </c>
      <c r="E850">
        <v>5010</v>
      </c>
      <c r="F850" t="s">
        <v>112</v>
      </c>
      <c r="G850" t="s">
        <v>110</v>
      </c>
      <c r="H850" t="s">
        <v>218</v>
      </c>
      <c r="I850">
        <v>3007.57</v>
      </c>
      <c r="J850">
        <v>0</v>
      </c>
      <c r="K850" t="s">
        <v>622</v>
      </c>
      <c r="L850" t="s">
        <v>226</v>
      </c>
      <c r="N850" t="s">
        <v>191</v>
      </c>
    </row>
    <row r="851" spans="1:14" x14ac:dyDescent="0.45">
      <c r="A851">
        <v>850</v>
      </c>
      <c r="B851">
        <v>320</v>
      </c>
      <c r="C851" t="s">
        <v>74</v>
      </c>
      <c r="D851" t="s">
        <v>596</v>
      </c>
      <c r="E851">
        <v>5020</v>
      </c>
      <c r="F851" t="s">
        <v>114</v>
      </c>
      <c r="G851" t="s">
        <v>110</v>
      </c>
      <c r="H851" t="s">
        <v>218</v>
      </c>
      <c r="I851">
        <v>2460.7399999999998</v>
      </c>
      <c r="J851">
        <v>0</v>
      </c>
      <c r="K851" t="s">
        <v>622</v>
      </c>
      <c r="L851" t="s">
        <v>226</v>
      </c>
      <c r="N851" t="s">
        <v>191</v>
      </c>
    </row>
    <row r="852" spans="1:14" x14ac:dyDescent="0.45">
      <c r="A852">
        <v>851</v>
      </c>
      <c r="B852">
        <v>320</v>
      </c>
      <c r="C852" t="s">
        <v>74</v>
      </c>
      <c r="D852" t="s">
        <v>596</v>
      </c>
      <c r="E852">
        <v>1000</v>
      </c>
      <c r="F852" t="s">
        <v>77</v>
      </c>
      <c r="G852" t="s">
        <v>78</v>
      </c>
      <c r="H852" t="s">
        <v>218</v>
      </c>
      <c r="I852">
        <v>0</v>
      </c>
      <c r="J852">
        <v>3827.82</v>
      </c>
      <c r="K852" t="s">
        <v>622</v>
      </c>
      <c r="L852" t="s">
        <v>226</v>
      </c>
      <c r="N852" t="s">
        <v>191</v>
      </c>
    </row>
    <row r="853" spans="1:14" x14ac:dyDescent="0.45">
      <c r="A853">
        <v>852</v>
      </c>
      <c r="B853">
        <v>320</v>
      </c>
      <c r="C853" t="s">
        <v>74</v>
      </c>
      <c r="D853" t="s">
        <v>596</v>
      </c>
      <c r="E853">
        <v>2000</v>
      </c>
      <c r="F853" t="s">
        <v>88</v>
      </c>
      <c r="G853" t="s">
        <v>89</v>
      </c>
      <c r="H853" t="s">
        <v>218</v>
      </c>
      <c r="I853">
        <v>0</v>
      </c>
      <c r="J853">
        <v>1640.49</v>
      </c>
      <c r="K853" t="s">
        <v>622</v>
      </c>
      <c r="L853" t="s">
        <v>226</v>
      </c>
      <c r="N853" t="s">
        <v>191</v>
      </c>
    </row>
    <row r="854" spans="1:14" x14ac:dyDescent="0.45">
      <c r="A854">
        <v>853</v>
      </c>
      <c r="B854">
        <v>321</v>
      </c>
      <c r="C854" t="s">
        <v>74</v>
      </c>
      <c r="D854" t="s">
        <v>598</v>
      </c>
      <c r="E854">
        <v>6010</v>
      </c>
      <c r="F854" t="s">
        <v>119</v>
      </c>
      <c r="G854" t="s">
        <v>117</v>
      </c>
      <c r="H854" t="s">
        <v>218</v>
      </c>
      <c r="I854">
        <v>24714.799999999999</v>
      </c>
      <c r="J854">
        <v>0</v>
      </c>
      <c r="K854" t="s">
        <v>623</v>
      </c>
      <c r="L854" t="s">
        <v>229</v>
      </c>
      <c r="N854" t="s">
        <v>191</v>
      </c>
    </row>
    <row r="855" spans="1:14" x14ac:dyDescent="0.45">
      <c r="A855">
        <v>854</v>
      </c>
      <c r="B855">
        <v>321</v>
      </c>
      <c r="C855" t="s">
        <v>74</v>
      </c>
      <c r="D855" t="s">
        <v>598</v>
      </c>
      <c r="E855">
        <v>6020</v>
      </c>
      <c r="F855" t="s">
        <v>121</v>
      </c>
      <c r="G855" t="s">
        <v>117</v>
      </c>
      <c r="H855" t="s">
        <v>218</v>
      </c>
      <c r="I855">
        <v>3460.07</v>
      </c>
      <c r="J855">
        <v>0</v>
      </c>
      <c r="K855" t="s">
        <v>623</v>
      </c>
      <c r="L855" t="s">
        <v>229</v>
      </c>
      <c r="N855" t="s">
        <v>191</v>
      </c>
    </row>
    <row r="856" spans="1:14" x14ac:dyDescent="0.45">
      <c r="A856">
        <v>855</v>
      </c>
      <c r="B856">
        <v>321</v>
      </c>
      <c r="C856" t="s">
        <v>74</v>
      </c>
      <c r="D856" t="s">
        <v>598</v>
      </c>
      <c r="E856">
        <v>1000</v>
      </c>
      <c r="F856" t="s">
        <v>77</v>
      </c>
      <c r="G856" t="s">
        <v>78</v>
      </c>
      <c r="H856" t="s">
        <v>218</v>
      </c>
      <c r="I856">
        <v>0</v>
      </c>
      <c r="J856">
        <v>28144.02</v>
      </c>
      <c r="K856" t="s">
        <v>623</v>
      </c>
      <c r="L856" t="s">
        <v>229</v>
      </c>
      <c r="N856" t="s">
        <v>191</v>
      </c>
    </row>
    <row r="857" spans="1:14" x14ac:dyDescent="0.45">
      <c r="A857">
        <v>856</v>
      </c>
      <c r="B857">
        <v>321</v>
      </c>
      <c r="C857" t="s">
        <v>74</v>
      </c>
      <c r="D857" t="s">
        <v>598</v>
      </c>
      <c r="E857">
        <v>2100</v>
      </c>
      <c r="F857" t="s">
        <v>91</v>
      </c>
      <c r="G857" t="s">
        <v>89</v>
      </c>
      <c r="H857" t="s">
        <v>218</v>
      </c>
      <c r="I857">
        <v>0</v>
      </c>
      <c r="J857">
        <v>2817.49</v>
      </c>
      <c r="K857" t="s">
        <v>623</v>
      </c>
      <c r="L857" t="s">
        <v>229</v>
      </c>
      <c r="N857" t="s">
        <v>191</v>
      </c>
    </row>
    <row r="858" spans="1:14" x14ac:dyDescent="0.45">
      <c r="A858">
        <v>857</v>
      </c>
      <c r="B858">
        <v>321</v>
      </c>
      <c r="C858" t="s">
        <v>74</v>
      </c>
      <c r="D858" t="s">
        <v>598</v>
      </c>
      <c r="E858">
        <v>2100</v>
      </c>
      <c r="F858" t="s">
        <v>91</v>
      </c>
      <c r="G858" t="s">
        <v>89</v>
      </c>
      <c r="H858" t="s">
        <v>218</v>
      </c>
      <c r="I858">
        <v>2786.64</v>
      </c>
      <c r="J858">
        <v>0</v>
      </c>
      <c r="K858" t="s">
        <v>623</v>
      </c>
      <c r="L858" t="s">
        <v>229</v>
      </c>
      <c r="N858" t="s">
        <v>191</v>
      </c>
    </row>
    <row r="859" spans="1:14" x14ac:dyDescent="0.45">
      <c r="A859">
        <v>858</v>
      </c>
      <c r="B859">
        <v>322</v>
      </c>
      <c r="C859" t="s">
        <v>74</v>
      </c>
      <c r="D859" t="s">
        <v>600</v>
      </c>
      <c r="E859">
        <v>6030</v>
      </c>
      <c r="F859" t="s">
        <v>123</v>
      </c>
      <c r="G859" t="s">
        <v>117</v>
      </c>
      <c r="H859" t="s">
        <v>218</v>
      </c>
      <c r="I859">
        <v>3889.6</v>
      </c>
      <c r="J859">
        <v>0</v>
      </c>
      <c r="K859" t="s">
        <v>624</v>
      </c>
      <c r="L859" t="s">
        <v>232</v>
      </c>
      <c r="N859" t="s">
        <v>191</v>
      </c>
    </row>
    <row r="860" spans="1:14" x14ac:dyDescent="0.45">
      <c r="A860">
        <v>859</v>
      </c>
      <c r="B860">
        <v>322</v>
      </c>
      <c r="C860" t="s">
        <v>74</v>
      </c>
      <c r="D860" t="s">
        <v>600</v>
      </c>
      <c r="E860">
        <v>1000</v>
      </c>
      <c r="F860" t="s">
        <v>77</v>
      </c>
      <c r="G860" t="s">
        <v>78</v>
      </c>
      <c r="H860" t="s">
        <v>218</v>
      </c>
      <c r="I860">
        <v>0</v>
      </c>
      <c r="J860">
        <v>3889.6</v>
      </c>
      <c r="K860" t="s">
        <v>624</v>
      </c>
      <c r="L860" t="s">
        <v>232</v>
      </c>
      <c r="N860" t="s">
        <v>191</v>
      </c>
    </row>
    <row r="861" spans="1:14" x14ac:dyDescent="0.45">
      <c r="A861">
        <v>860</v>
      </c>
      <c r="B861">
        <v>323</v>
      </c>
      <c r="C861" t="s">
        <v>74</v>
      </c>
      <c r="D861" t="s">
        <v>602</v>
      </c>
      <c r="E861">
        <v>6040</v>
      </c>
      <c r="F861" t="s">
        <v>125</v>
      </c>
      <c r="G861" t="s">
        <v>117</v>
      </c>
      <c r="H861" t="s">
        <v>218</v>
      </c>
      <c r="I861">
        <v>1680.62</v>
      </c>
      <c r="J861">
        <v>0</v>
      </c>
      <c r="K861" t="s">
        <v>625</v>
      </c>
      <c r="L861" t="s">
        <v>226</v>
      </c>
      <c r="N861" t="s">
        <v>191</v>
      </c>
    </row>
    <row r="862" spans="1:14" x14ac:dyDescent="0.45">
      <c r="A862">
        <v>861</v>
      </c>
      <c r="B862">
        <v>323</v>
      </c>
      <c r="C862" t="s">
        <v>74</v>
      </c>
      <c r="D862" t="s">
        <v>602</v>
      </c>
      <c r="E862">
        <v>1000</v>
      </c>
      <c r="F862" t="s">
        <v>77</v>
      </c>
      <c r="G862" t="s">
        <v>78</v>
      </c>
      <c r="H862" t="s">
        <v>218</v>
      </c>
      <c r="I862">
        <v>0</v>
      </c>
      <c r="J862">
        <v>1344.5</v>
      </c>
      <c r="K862" t="s">
        <v>625</v>
      </c>
      <c r="L862" t="s">
        <v>226</v>
      </c>
      <c r="N862" t="s">
        <v>191</v>
      </c>
    </row>
    <row r="863" spans="1:14" x14ac:dyDescent="0.45">
      <c r="A863">
        <v>862</v>
      </c>
      <c r="B863">
        <v>323</v>
      </c>
      <c r="C863" t="s">
        <v>74</v>
      </c>
      <c r="D863" t="s">
        <v>602</v>
      </c>
      <c r="E863">
        <v>2000</v>
      </c>
      <c r="F863" t="s">
        <v>88</v>
      </c>
      <c r="G863" t="s">
        <v>89</v>
      </c>
      <c r="H863" t="s">
        <v>218</v>
      </c>
      <c r="I863">
        <v>0</v>
      </c>
      <c r="J863">
        <v>336.12</v>
      </c>
      <c r="K863" t="s">
        <v>625</v>
      </c>
      <c r="L863" t="s">
        <v>226</v>
      </c>
      <c r="N863" t="s">
        <v>191</v>
      </c>
    </row>
    <row r="864" spans="1:14" x14ac:dyDescent="0.45">
      <c r="A864">
        <v>863</v>
      </c>
      <c r="B864">
        <v>324</v>
      </c>
      <c r="C864" t="s">
        <v>74</v>
      </c>
      <c r="D864" t="s">
        <v>600</v>
      </c>
      <c r="E864">
        <v>6050</v>
      </c>
      <c r="F864" t="s">
        <v>127</v>
      </c>
      <c r="G864" t="s">
        <v>117</v>
      </c>
      <c r="H864" t="s">
        <v>218</v>
      </c>
      <c r="I864">
        <v>797.5</v>
      </c>
      <c r="J864">
        <v>0</v>
      </c>
      <c r="K864" t="s">
        <v>626</v>
      </c>
      <c r="L864" t="s">
        <v>236</v>
      </c>
      <c r="N864" t="s">
        <v>191</v>
      </c>
    </row>
    <row r="865" spans="1:14" x14ac:dyDescent="0.45">
      <c r="A865">
        <v>864</v>
      </c>
      <c r="B865">
        <v>324</v>
      </c>
      <c r="C865" t="s">
        <v>74</v>
      </c>
      <c r="D865" t="s">
        <v>600</v>
      </c>
      <c r="E865">
        <v>1200</v>
      </c>
      <c r="F865" t="s">
        <v>82</v>
      </c>
      <c r="G865" t="s">
        <v>78</v>
      </c>
      <c r="H865" t="s">
        <v>218</v>
      </c>
      <c r="I865">
        <v>0</v>
      </c>
      <c r="J865">
        <v>797.5</v>
      </c>
      <c r="K865" t="s">
        <v>626</v>
      </c>
      <c r="L865" t="s">
        <v>236</v>
      </c>
      <c r="N865" t="s">
        <v>191</v>
      </c>
    </row>
    <row r="866" spans="1:14" x14ac:dyDescent="0.45">
      <c r="A866">
        <v>865</v>
      </c>
      <c r="B866">
        <v>325</v>
      </c>
      <c r="C866" t="s">
        <v>74</v>
      </c>
      <c r="D866" t="s">
        <v>605</v>
      </c>
      <c r="E866">
        <v>6060</v>
      </c>
      <c r="F866" t="s">
        <v>129</v>
      </c>
      <c r="G866" t="s">
        <v>117</v>
      </c>
      <c r="H866" t="s">
        <v>218</v>
      </c>
      <c r="I866">
        <v>1247.4000000000001</v>
      </c>
      <c r="J866">
        <v>0</v>
      </c>
      <c r="K866" t="s">
        <v>627</v>
      </c>
      <c r="L866" t="s">
        <v>232</v>
      </c>
      <c r="N866" t="s">
        <v>191</v>
      </c>
    </row>
    <row r="867" spans="1:14" x14ac:dyDescent="0.45">
      <c r="A867">
        <v>866</v>
      </c>
      <c r="B867">
        <v>325</v>
      </c>
      <c r="C867" t="s">
        <v>74</v>
      </c>
      <c r="D867" t="s">
        <v>605</v>
      </c>
      <c r="E867">
        <v>1000</v>
      </c>
      <c r="F867" t="s">
        <v>77</v>
      </c>
      <c r="G867" t="s">
        <v>78</v>
      </c>
      <c r="H867" t="s">
        <v>218</v>
      </c>
      <c r="I867">
        <v>0</v>
      </c>
      <c r="J867">
        <v>1247.4000000000001</v>
      </c>
      <c r="K867" t="s">
        <v>627</v>
      </c>
      <c r="L867" t="s">
        <v>232</v>
      </c>
      <c r="N867" t="s">
        <v>191</v>
      </c>
    </row>
    <row r="868" spans="1:14" x14ac:dyDescent="0.45">
      <c r="A868">
        <v>867</v>
      </c>
      <c r="B868">
        <v>326</v>
      </c>
      <c r="C868" t="s">
        <v>74</v>
      </c>
      <c r="D868" t="s">
        <v>598</v>
      </c>
      <c r="E868">
        <v>7000</v>
      </c>
      <c r="F868" t="s">
        <v>133</v>
      </c>
      <c r="G868" t="s">
        <v>117</v>
      </c>
      <c r="H868" t="s">
        <v>218</v>
      </c>
      <c r="I868">
        <v>605</v>
      </c>
      <c r="J868">
        <v>0</v>
      </c>
      <c r="K868" t="s">
        <v>628</v>
      </c>
      <c r="L868" t="s">
        <v>241</v>
      </c>
      <c r="N868" t="s">
        <v>191</v>
      </c>
    </row>
    <row r="869" spans="1:14" x14ac:dyDescent="0.45">
      <c r="A869">
        <v>868</v>
      </c>
      <c r="B869">
        <v>326</v>
      </c>
      <c r="C869" t="s">
        <v>74</v>
      </c>
      <c r="D869" t="s">
        <v>598</v>
      </c>
      <c r="E869">
        <v>1500</v>
      </c>
      <c r="F869" t="s">
        <v>86</v>
      </c>
      <c r="G869" t="s">
        <v>78</v>
      </c>
      <c r="H869" t="s">
        <v>218</v>
      </c>
      <c r="I869">
        <v>0</v>
      </c>
      <c r="J869">
        <v>605</v>
      </c>
      <c r="K869" t="s">
        <v>628</v>
      </c>
      <c r="L869" t="s">
        <v>241</v>
      </c>
      <c r="N869" t="s">
        <v>191</v>
      </c>
    </row>
    <row r="870" spans="1:14" x14ac:dyDescent="0.45">
      <c r="A870">
        <v>869</v>
      </c>
      <c r="B870">
        <v>327</v>
      </c>
      <c r="C870" t="s">
        <v>74</v>
      </c>
      <c r="D870" t="s">
        <v>608</v>
      </c>
      <c r="E870">
        <v>2000</v>
      </c>
      <c r="F870" t="s">
        <v>88</v>
      </c>
      <c r="G870" t="s">
        <v>89</v>
      </c>
      <c r="H870" t="s">
        <v>218</v>
      </c>
      <c r="I870">
        <v>1894.35</v>
      </c>
      <c r="J870">
        <v>0</v>
      </c>
      <c r="K870" t="s">
        <v>629</v>
      </c>
      <c r="L870" t="s">
        <v>232</v>
      </c>
      <c r="N870" t="s">
        <v>191</v>
      </c>
    </row>
    <row r="871" spans="1:14" x14ac:dyDescent="0.45">
      <c r="A871">
        <v>870</v>
      </c>
      <c r="B871">
        <v>327</v>
      </c>
      <c r="C871" t="s">
        <v>74</v>
      </c>
      <c r="D871" t="s">
        <v>608</v>
      </c>
      <c r="E871">
        <v>1000</v>
      </c>
      <c r="F871" t="s">
        <v>77</v>
      </c>
      <c r="G871" t="s">
        <v>78</v>
      </c>
      <c r="H871" t="s">
        <v>218</v>
      </c>
      <c r="I871">
        <v>0</v>
      </c>
      <c r="J871">
        <v>1894.35</v>
      </c>
      <c r="K871" t="s">
        <v>629</v>
      </c>
      <c r="L871" t="s">
        <v>232</v>
      </c>
      <c r="N871" t="s">
        <v>191</v>
      </c>
    </row>
    <row r="872" spans="1:14" x14ac:dyDescent="0.45">
      <c r="A872">
        <v>871</v>
      </c>
      <c r="B872">
        <v>328</v>
      </c>
      <c r="C872" t="s">
        <v>72</v>
      </c>
      <c r="D872" t="s">
        <v>630</v>
      </c>
      <c r="E872">
        <v>1300</v>
      </c>
      <c r="F872" t="s">
        <v>84</v>
      </c>
      <c r="G872" t="s">
        <v>78</v>
      </c>
      <c r="H872" t="s">
        <v>261</v>
      </c>
      <c r="I872">
        <v>3481.92</v>
      </c>
      <c r="J872">
        <v>0</v>
      </c>
      <c r="K872" t="s">
        <v>631</v>
      </c>
      <c r="L872" t="s">
        <v>263</v>
      </c>
      <c r="M872" t="s">
        <v>73</v>
      </c>
      <c r="N872" t="s">
        <v>191</v>
      </c>
    </row>
    <row r="873" spans="1:14" x14ac:dyDescent="0.45">
      <c r="A873">
        <v>872</v>
      </c>
      <c r="B873">
        <v>328</v>
      </c>
      <c r="C873" t="s">
        <v>72</v>
      </c>
      <c r="D873" t="s">
        <v>630</v>
      </c>
      <c r="E873">
        <v>4090</v>
      </c>
      <c r="F873" t="s">
        <v>107</v>
      </c>
      <c r="G873" t="s">
        <v>99</v>
      </c>
      <c r="H873" t="s">
        <v>261</v>
      </c>
      <c r="I873">
        <v>0</v>
      </c>
      <c r="J873">
        <v>3481.92</v>
      </c>
      <c r="K873" t="s">
        <v>631</v>
      </c>
      <c r="L873" t="s">
        <v>263</v>
      </c>
      <c r="M873" t="s">
        <v>73</v>
      </c>
      <c r="N873" t="s">
        <v>191</v>
      </c>
    </row>
    <row r="874" spans="1:14" x14ac:dyDescent="0.45">
      <c r="A874">
        <v>873</v>
      </c>
      <c r="B874">
        <v>329</v>
      </c>
      <c r="C874" t="s">
        <v>73</v>
      </c>
      <c r="D874" t="s">
        <v>630</v>
      </c>
      <c r="E874">
        <v>6070</v>
      </c>
      <c r="F874" t="s">
        <v>131</v>
      </c>
      <c r="G874" t="s">
        <v>117</v>
      </c>
      <c r="H874" t="s">
        <v>261</v>
      </c>
      <c r="I874">
        <v>3481.92</v>
      </c>
      <c r="J874">
        <v>0</v>
      </c>
      <c r="K874" t="s">
        <v>632</v>
      </c>
      <c r="L874" t="s">
        <v>263</v>
      </c>
      <c r="M874" t="s">
        <v>72</v>
      </c>
      <c r="N874" t="s">
        <v>191</v>
      </c>
    </row>
    <row r="875" spans="1:14" x14ac:dyDescent="0.45">
      <c r="A875">
        <v>874</v>
      </c>
      <c r="B875">
        <v>329</v>
      </c>
      <c r="C875" t="s">
        <v>73</v>
      </c>
      <c r="D875" t="s">
        <v>630</v>
      </c>
      <c r="E875">
        <v>2200</v>
      </c>
      <c r="F875" t="s">
        <v>93</v>
      </c>
      <c r="G875" t="s">
        <v>89</v>
      </c>
      <c r="H875" t="s">
        <v>261</v>
      </c>
      <c r="I875">
        <v>0</v>
      </c>
      <c r="J875">
        <v>3481.92</v>
      </c>
      <c r="K875" t="s">
        <v>632</v>
      </c>
      <c r="L875" t="s">
        <v>263</v>
      </c>
      <c r="M875" t="s">
        <v>72</v>
      </c>
      <c r="N875" t="s">
        <v>191</v>
      </c>
    </row>
    <row r="876" spans="1:14" x14ac:dyDescent="0.45">
      <c r="A876">
        <v>875</v>
      </c>
      <c r="B876">
        <v>330</v>
      </c>
      <c r="C876" t="s">
        <v>73</v>
      </c>
      <c r="D876" t="s">
        <v>633</v>
      </c>
      <c r="E876">
        <v>2200</v>
      </c>
      <c r="F876" t="s">
        <v>93</v>
      </c>
      <c r="G876" t="s">
        <v>89</v>
      </c>
      <c r="H876" t="s">
        <v>261</v>
      </c>
      <c r="I876">
        <v>3449.68</v>
      </c>
      <c r="J876">
        <v>0</v>
      </c>
      <c r="K876" t="s">
        <v>634</v>
      </c>
      <c r="L876" t="s">
        <v>309</v>
      </c>
      <c r="M876" t="s">
        <v>72</v>
      </c>
      <c r="N876" t="s">
        <v>191</v>
      </c>
    </row>
    <row r="877" spans="1:14" x14ac:dyDescent="0.45">
      <c r="A877">
        <v>876</v>
      </c>
      <c r="B877">
        <v>330</v>
      </c>
      <c r="C877" t="s">
        <v>73</v>
      </c>
      <c r="D877" t="s">
        <v>633</v>
      </c>
      <c r="E877">
        <v>1000</v>
      </c>
      <c r="F877" t="s">
        <v>77</v>
      </c>
      <c r="G877" t="s">
        <v>78</v>
      </c>
      <c r="H877" t="s">
        <v>218</v>
      </c>
      <c r="I877">
        <v>0</v>
      </c>
      <c r="J877">
        <v>3449.68</v>
      </c>
      <c r="K877" t="s">
        <v>634</v>
      </c>
      <c r="L877" t="s">
        <v>309</v>
      </c>
      <c r="M877" t="s">
        <v>72</v>
      </c>
      <c r="N877" t="s">
        <v>191</v>
      </c>
    </row>
    <row r="878" spans="1:14" x14ac:dyDescent="0.45">
      <c r="A878">
        <v>877</v>
      </c>
      <c r="B878">
        <v>331</v>
      </c>
      <c r="C878" t="s">
        <v>72</v>
      </c>
      <c r="D878" t="s">
        <v>633</v>
      </c>
      <c r="E878">
        <v>1000</v>
      </c>
      <c r="F878" t="s">
        <v>77</v>
      </c>
      <c r="G878" t="s">
        <v>78</v>
      </c>
      <c r="H878" t="s">
        <v>218</v>
      </c>
      <c r="I878">
        <v>3449.68</v>
      </c>
      <c r="J878">
        <v>0</v>
      </c>
      <c r="K878" t="s">
        <v>635</v>
      </c>
      <c r="L878" t="s">
        <v>309</v>
      </c>
      <c r="M878" t="s">
        <v>73</v>
      </c>
      <c r="N878" t="s">
        <v>191</v>
      </c>
    </row>
    <row r="879" spans="1:14" x14ac:dyDescent="0.45">
      <c r="A879">
        <v>878</v>
      </c>
      <c r="B879">
        <v>331</v>
      </c>
      <c r="C879" t="s">
        <v>72</v>
      </c>
      <c r="D879" t="s">
        <v>633</v>
      </c>
      <c r="E879">
        <v>1300</v>
      </c>
      <c r="F879" t="s">
        <v>84</v>
      </c>
      <c r="G879" t="s">
        <v>78</v>
      </c>
      <c r="H879" t="s">
        <v>261</v>
      </c>
      <c r="I879">
        <v>0</v>
      </c>
      <c r="J879">
        <v>3449.68</v>
      </c>
      <c r="K879" t="s">
        <v>635</v>
      </c>
      <c r="L879" t="s">
        <v>309</v>
      </c>
      <c r="M879" t="s">
        <v>73</v>
      </c>
      <c r="N879" t="s">
        <v>191</v>
      </c>
    </row>
    <row r="880" spans="1:14" x14ac:dyDescent="0.45">
      <c r="A880">
        <v>879</v>
      </c>
      <c r="B880">
        <v>332</v>
      </c>
      <c r="C880" t="s">
        <v>72</v>
      </c>
      <c r="D880" t="s">
        <v>630</v>
      </c>
      <c r="E880">
        <v>1300</v>
      </c>
      <c r="F880" t="s">
        <v>84</v>
      </c>
      <c r="G880" t="s">
        <v>78</v>
      </c>
      <c r="H880" t="s">
        <v>261</v>
      </c>
      <c r="I880">
        <v>3088.8</v>
      </c>
      <c r="J880">
        <v>0</v>
      </c>
      <c r="K880" t="s">
        <v>636</v>
      </c>
      <c r="L880" t="s">
        <v>263</v>
      </c>
      <c r="M880" t="s">
        <v>74</v>
      </c>
      <c r="N880" t="s">
        <v>191</v>
      </c>
    </row>
    <row r="881" spans="1:14" x14ac:dyDescent="0.45">
      <c r="A881">
        <v>880</v>
      </c>
      <c r="B881">
        <v>332</v>
      </c>
      <c r="C881" t="s">
        <v>72</v>
      </c>
      <c r="D881" t="s">
        <v>630</v>
      </c>
      <c r="E881">
        <v>4090</v>
      </c>
      <c r="F881" t="s">
        <v>107</v>
      </c>
      <c r="G881" t="s">
        <v>99</v>
      </c>
      <c r="H881" t="s">
        <v>261</v>
      </c>
      <c r="I881">
        <v>0</v>
      </c>
      <c r="J881">
        <v>3088.8</v>
      </c>
      <c r="K881" t="s">
        <v>636</v>
      </c>
      <c r="L881" t="s">
        <v>263</v>
      </c>
      <c r="M881" t="s">
        <v>74</v>
      </c>
      <c r="N881" t="s">
        <v>191</v>
      </c>
    </row>
    <row r="882" spans="1:14" x14ac:dyDescent="0.45">
      <c r="A882">
        <v>881</v>
      </c>
      <c r="B882">
        <v>333</v>
      </c>
      <c r="C882" t="s">
        <v>74</v>
      </c>
      <c r="D882" t="s">
        <v>630</v>
      </c>
      <c r="E882">
        <v>6070</v>
      </c>
      <c r="F882" t="s">
        <v>131</v>
      </c>
      <c r="G882" t="s">
        <v>117</v>
      </c>
      <c r="H882" t="s">
        <v>261</v>
      </c>
      <c r="I882">
        <v>3088.8</v>
      </c>
      <c r="J882">
        <v>0</v>
      </c>
      <c r="K882" t="s">
        <v>632</v>
      </c>
      <c r="L882" t="s">
        <v>263</v>
      </c>
      <c r="M882" t="s">
        <v>72</v>
      </c>
      <c r="N882" t="s">
        <v>191</v>
      </c>
    </row>
    <row r="883" spans="1:14" x14ac:dyDescent="0.45">
      <c r="A883">
        <v>882</v>
      </c>
      <c r="B883">
        <v>333</v>
      </c>
      <c r="C883" t="s">
        <v>74</v>
      </c>
      <c r="D883" t="s">
        <v>630</v>
      </c>
      <c r="E883">
        <v>2200</v>
      </c>
      <c r="F883" t="s">
        <v>93</v>
      </c>
      <c r="G883" t="s">
        <v>89</v>
      </c>
      <c r="H883" t="s">
        <v>261</v>
      </c>
      <c r="I883">
        <v>0</v>
      </c>
      <c r="J883">
        <v>3088.8</v>
      </c>
      <c r="K883" t="s">
        <v>632</v>
      </c>
      <c r="L883" t="s">
        <v>263</v>
      </c>
      <c r="M883" t="s">
        <v>72</v>
      </c>
      <c r="N883" t="s">
        <v>191</v>
      </c>
    </row>
    <row r="884" spans="1:14" x14ac:dyDescent="0.45">
      <c r="A884">
        <v>883</v>
      </c>
      <c r="B884">
        <v>334</v>
      </c>
      <c r="C884" t="s">
        <v>74</v>
      </c>
      <c r="D884" t="s">
        <v>633</v>
      </c>
      <c r="E884">
        <v>2200</v>
      </c>
      <c r="F884" t="s">
        <v>93</v>
      </c>
      <c r="G884" t="s">
        <v>89</v>
      </c>
      <c r="H884" t="s">
        <v>261</v>
      </c>
      <c r="I884">
        <v>3060.2</v>
      </c>
      <c r="J884">
        <v>0</v>
      </c>
      <c r="K884" t="s">
        <v>634</v>
      </c>
      <c r="L884" t="s">
        <v>309</v>
      </c>
      <c r="M884" t="s">
        <v>72</v>
      </c>
      <c r="N884" t="s">
        <v>191</v>
      </c>
    </row>
    <row r="885" spans="1:14" x14ac:dyDescent="0.45">
      <c r="A885">
        <v>884</v>
      </c>
      <c r="B885">
        <v>334</v>
      </c>
      <c r="C885" t="s">
        <v>74</v>
      </c>
      <c r="D885" t="s">
        <v>633</v>
      </c>
      <c r="E885">
        <v>1000</v>
      </c>
      <c r="F885" t="s">
        <v>77</v>
      </c>
      <c r="G885" t="s">
        <v>78</v>
      </c>
      <c r="H885" t="s">
        <v>218</v>
      </c>
      <c r="I885">
        <v>0</v>
      </c>
      <c r="J885">
        <v>3060.2</v>
      </c>
      <c r="K885" t="s">
        <v>634</v>
      </c>
      <c r="L885" t="s">
        <v>309</v>
      </c>
      <c r="M885" t="s">
        <v>72</v>
      </c>
      <c r="N885" t="s">
        <v>191</v>
      </c>
    </row>
    <row r="886" spans="1:14" x14ac:dyDescent="0.45">
      <c r="A886">
        <v>885</v>
      </c>
      <c r="B886">
        <v>335</v>
      </c>
      <c r="C886" t="s">
        <v>72</v>
      </c>
      <c r="D886" t="s">
        <v>633</v>
      </c>
      <c r="E886">
        <v>1000</v>
      </c>
      <c r="F886" t="s">
        <v>77</v>
      </c>
      <c r="G886" t="s">
        <v>78</v>
      </c>
      <c r="H886" t="s">
        <v>218</v>
      </c>
      <c r="I886">
        <v>3060.2</v>
      </c>
      <c r="J886">
        <v>0</v>
      </c>
      <c r="K886" t="s">
        <v>637</v>
      </c>
      <c r="L886" t="s">
        <v>309</v>
      </c>
      <c r="M886" t="s">
        <v>74</v>
      </c>
      <c r="N886" t="s">
        <v>191</v>
      </c>
    </row>
    <row r="887" spans="1:14" x14ac:dyDescent="0.45">
      <c r="A887">
        <v>886</v>
      </c>
      <c r="B887">
        <v>335</v>
      </c>
      <c r="C887" t="s">
        <v>72</v>
      </c>
      <c r="D887" t="s">
        <v>633</v>
      </c>
      <c r="E887">
        <v>1300</v>
      </c>
      <c r="F887" t="s">
        <v>84</v>
      </c>
      <c r="G887" t="s">
        <v>78</v>
      </c>
      <c r="H887" t="s">
        <v>261</v>
      </c>
      <c r="I887">
        <v>0</v>
      </c>
      <c r="J887">
        <v>3060.2</v>
      </c>
      <c r="K887" t="s">
        <v>637</v>
      </c>
      <c r="L887" t="s">
        <v>309</v>
      </c>
      <c r="M887" t="s">
        <v>74</v>
      </c>
      <c r="N887" t="s">
        <v>191</v>
      </c>
    </row>
    <row r="888" spans="1:14" x14ac:dyDescent="0.45">
      <c r="A888">
        <v>887</v>
      </c>
      <c r="B888">
        <v>336</v>
      </c>
      <c r="C888" t="s">
        <v>72</v>
      </c>
      <c r="D888" t="s">
        <v>638</v>
      </c>
      <c r="E888">
        <v>1100</v>
      </c>
      <c r="F888" t="s">
        <v>80</v>
      </c>
      <c r="G888" t="s">
        <v>78</v>
      </c>
      <c r="H888" t="s">
        <v>218</v>
      </c>
      <c r="I888">
        <v>92298.26</v>
      </c>
      <c r="J888">
        <v>0</v>
      </c>
      <c r="K888" t="s">
        <v>639</v>
      </c>
      <c r="L888" t="s">
        <v>220</v>
      </c>
      <c r="N888" t="s">
        <v>192</v>
      </c>
    </row>
    <row r="889" spans="1:14" x14ac:dyDescent="0.45">
      <c r="A889">
        <v>888</v>
      </c>
      <c r="B889">
        <v>336</v>
      </c>
      <c r="C889" t="s">
        <v>72</v>
      </c>
      <c r="D889" t="s">
        <v>638</v>
      </c>
      <c r="E889">
        <v>4010</v>
      </c>
      <c r="F889" t="s">
        <v>101</v>
      </c>
      <c r="G889" t="s">
        <v>99</v>
      </c>
      <c r="H889" t="s">
        <v>218</v>
      </c>
      <c r="I889">
        <v>0</v>
      </c>
      <c r="J889">
        <v>38765.269999999997</v>
      </c>
      <c r="K889" t="s">
        <v>639</v>
      </c>
      <c r="L889" t="s">
        <v>220</v>
      </c>
      <c r="N889" t="s">
        <v>192</v>
      </c>
    </row>
    <row r="890" spans="1:14" x14ac:dyDescent="0.45">
      <c r="A890">
        <v>889</v>
      </c>
      <c r="B890">
        <v>336</v>
      </c>
      <c r="C890" t="s">
        <v>72</v>
      </c>
      <c r="D890" t="s">
        <v>638</v>
      </c>
      <c r="E890">
        <v>4020</v>
      </c>
      <c r="F890" t="s">
        <v>103</v>
      </c>
      <c r="G890" t="s">
        <v>99</v>
      </c>
      <c r="H890" t="s">
        <v>218</v>
      </c>
      <c r="I890">
        <v>0</v>
      </c>
      <c r="J890">
        <v>30458.43</v>
      </c>
      <c r="K890" t="s">
        <v>639</v>
      </c>
      <c r="L890" t="s">
        <v>220</v>
      </c>
      <c r="N890" t="s">
        <v>192</v>
      </c>
    </row>
    <row r="891" spans="1:14" x14ac:dyDescent="0.45">
      <c r="A891">
        <v>890</v>
      </c>
      <c r="B891">
        <v>336</v>
      </c>
      <c r="C891" t="s">
        <v>72</v>
      </c>
      <c r="D891" t="s">
        <v>638</v>
      </c>
      <c r="E891">
        <v>4030</v>
      </c>
      <c r="F891" t="s">
        <v>105</v>
      </c>
      <c r="G891" t="s">
        <v>99</v>
      </c>
      <c r="H891" t="s">
        <v>218</v>
      </c>
      <c r="I891">
        <v>0</v>
      </c>
      <c r="J891">
        <v>23074.560000000001</v>
      </c>
      <c r="K891" t="s">
        <v>639</v>
      </c>
      <c r="L891" t="s">
        <v>220</v>
      </c>
      <c r="N891" t="s">
        <v>192</v>
      </c>
    </row>
    <row r="892" spans="1:14" x14ac:dyDescent="0.45">
      <c r="A892">
        <v>891</v>
      </c>
      <c r="B892">
        <v>337</v>
      </c>
      <c r="C892" t="s">
        <v>72</v>
      </c>
      <c r="D892" t="s">
        <v>640</v>
      </c>
      <c r="E892">
        <v>1000</v>
      </c>
      <c r="F892" t="s">
        <v>77</v>
      </c>
      <c r="G892" t="s">
        <v>78</v>
      </c>
      <c r="H892" t="s">
        <v>218</v>
      </c>
      <c r="I892">
        <v>87146.06</v>
      </c>
      <c r="J892">
        <v>0</v>
      </c>
      <c r="K892" t="s">
        <v>641</v>
      </c>
      <c r="L892" t="s">
        <v>223</v>
      </c>
      <c r="N892" t="s">
        <v>192</v>
      </c>
    </row>
    <row r="893" spans="1:14" x14ac:dyDescent="0.45">
      <c r="A893">
        <v>892</v>
      </c>
      <c r="B893">
        <v>337</v>
      </c>
      <c r="C893" t="s">
        <v>72</v>
      </c>
      <c r="D893" t="s">
        <v>640</v>
      </c>
      <c r="E893">
        <v>1100</v>
      </c>
      <c r="F893" t="s">
        <v>80</v>
      </c>
      <c r="G893" t="s">
        <v>78</v>
      </c>
      <c r="H893" t="s">
        <v>218</v>
      </c>
      <c r="I893">
        <v>0</v>
      </c>
      <c r="J893">
        <v>87146.06</v>
      </c>
      <c r="K893" t="s">
        <v>641</v>
      </c>
      <c r="L893" t="s">
        <v>223</v>
      </c>
      <c r="N893" t="s">
        <v>192</v>
      </c>
    </row>
    <row r="894" spans="1:14" x14ac:dyDescent="0.45">
      <c r="A894">
        <v>893</v>
      </c>
      <c r="B894">
        <v>338</v>
      </c>
      <c r="C894" t="s">
        <v>72</v>
      </c>
      <c r="D894" t="s">
        <v>642</v>
      </c>
      <c r="E894">
        <v>5010</v>
      </c>
      <c r="F894" t="s">
        <v>112</v>
      </c>
      <c r="G894" t="s">
        <v>110</v>
      </c>
      <c r="H894" t="s">
        <v>218</v>
      </c>
      <c r="I894">
        <v>5241.9399999999996</v>
      </c>
      <c r="J894">
        <v>0</v>
      </c>
      <c r="K894" t="s">
        <v>643</v>
      </c>
      <c r="L894" t="s">
        <v>226</v>
      </c>
      <c r="N894" t="s">
        <v>192</v>
      </c>
    </row>
    <row r="895" spans="1:14" x14ac:dyDescent="0.45">
      <c r="A895">
        <v>894</v>
      </c>
      <c r="B895">
        <v>338</v>
      </c>
      <c r="C895" t="s">
        <v>72</v>
      </c>
      <c r="D895" t="s">
        <v>642</v>
      </c>
      <c r="E895">
        <v>5020</v>
      </c>
      <c r="F895" t="s">
        <v>114</v>
      </c>
      <c r="G895" t="s">
        <v>110</v>
      </c>
      <c r="H895" t="s">
        <v>218</v>
      </c>
      <c r="I895">
        <v>4288.8599999999997</v>
      </c>
      <c r="J895">
        <v>0</v>
      </c>
      <c r="K895" t="s">
        <v>643</v>
      </c>
      <c r="L895" t="s">
        <v>226</v>
      </c>
      <c r="N895" t="s">
        <v>192</v>
      </c>
    </row>
    <row r="896" spans="1:14" x14ac:dyDescent="0.45">
      <c r="A896">
        <v>895</v>
      </c>
      <c r="B896">
        <v>338</v>
      </c>
      <c r="C896" t="s">
        <v>72</v>
      </c>
      <c r="D896" t="s">
        <v>642</v>
      </c>
      <c r="E896">
        <v>1000</v>
      </c>
      <c r="F896" t="s">
        <v>77</v>
      </c>
      <c r="G896" t="s">
        <v>78</v>
      </c>
      <c r="H896" t="s">
        <v>218</v>
      </c>
      <c r="I896">
        <v>0</v>
      </c>
      <c r="J896">
        <v>6671.56</v>
      </c>
      <c r="K896" t="s">
        <v>643</v>
      </c>
      <c r="L896" t="s">
        <v>226</v>
      </c>
      <c r="N896" t="s">
        <v>192</v>
      </c>
    </row>
    <row r="897" spans="1:14" x14ac:dyDescent="0.45">
      <c r="A897">
        <v>896</v>
      </c>
      <c r="B897">
        <v>338</v>
      </c>
      <c r="C897" t="s">
        <v>72</v>
      </c>
      <c r="D897" t="s">
        <v>642</v>
      </c>
      <c r="E897">
        <v>2000</v>
      </c>
      <c r="F897" t="s">
        <v>88</v>
      </c>
      <c r="G897" t="s">
        <v>89</v>
      </c>
      <c r="H897" t="s">
        <v>218</v>
      </c>
      <c r="I897">
        <v>0</v>
      </c>
      <c r="J897">
        <v>2859.24</v>
      </c>
      <c r="K897" t="s">
        <v>643</v>
      </c>
      <c r="L897" t="s">
        <v>226</v>
      </c>
      <c r="N897" t="s">
        <v>192</v>
      </c>
    </row>
    <row r="898" spans="1:14" x14ac:dyDescent="0.45">
      <c r="A898">
        <v>897</v>
      </c>
      <c r="B898">
        <v>339</v>
      </c>
      <c r="C898" t="s">
        <v>72</v>
      </c>
      <c r="D898" t="s">
        <v>644</v>
      </c>
      <c r="E898">
        <v>6010</v>
      </c>
      <c r="F898" t="s">
        <v>119</v>
      </c>
      <c r="G898" t="s">
        <v>117</v>
      </c>
      <c r="H898" t="s">
        <v>218</v>
      </c>
      <c r="I898">
        <v>45428</v>
      </c>
      <c r="J898">
        <v>0</v>
      </c>
      <c r="K898" t="s">
        <v>645</v>
      </c>
      <c r="L898" t="s">
        <v>229</v>
      </c>
      <c r="N898" t="s">
        <v>192</v>
      </c>
    </row>
    <row r="899" spans="1:14" x14ac:dyDescent="0.45">
      <c r="A899">
        <v>898</v>
      </c>
      <c r="B899">
        <v>339</v>
      </c>
      <c r="C899" t="s">
        <v>72</v>
      </c>
      <c r="D899" t="s">
        <v>644</v>
      </c>
      <c r="E899">
        <v>6020</v>
      </c>
      <c r="F899" t="s">
        <v>121</v>
      </c>
      <c r="G899" t="s">
        <v>117</v>
      </c>
      <c r="H899" t="s">
        <v>218</v>
      </c>
      <c r="I899">
        <v>6359.92</v>
      </c>
      <c r="J899">
        <v>0</v>
      </c>
      <c r="K899" t="s">
        <v>645</v>
      </c>
      <c r="L899" t="s">
        <v>229</v>
      </c>
      <c r="N899" t="s">
        <v>192</v>
      </c>
    </row>
    <row r="900" spans="1:14" x14ac:dyDescent="0.45">
      <c r="A900">
        <v>899</v>
      </c>
      <c r="B900">
        <v>339</v>
      </c>
      <c r="C900" t="s">
        <v>72</v>
      </c>
      <c r="D900" t="s">
        <v>644</v>
      </c>
      <c r="E900">
        <v>1000</v>
      </c>
      <c r="F900" t="s">
        <v>77</v>
      </c>
      <c r="G900" t="s">
        <v>78</v>
      </c>
      <c r="H900" t="s">
        <v>218</v>
      </c>
      <c r="I900">
        <v>0</v>
      </c>
      <c r="J900">
        <v>51731.83</v>
      </c>
      <c r="K900" t="s">
        <v>645</v>
      </c>
      <c r="L900" t="s">
        <v>229</v>
      </c>
      <c r="N900" t="s">
        <v>192</v>
      </c>
    </row>
    <row r="901" spans="1:14" x14ac:dyDescent="0.45">
      <c r="A901">
        <v>900</v>
      </c>
      <c r="B901">
        <v>339</v>
      </c>
      <c r="C901" t="s">
        <v>72</v>
      </c>
      <c r="D901" t="s">
        <v>644</v>
      </c>
      <c r="E901">
        <v>2100</v>
      </c>
      <c r="F901" t="s">
        <v>91</v>
      </c>
      <c r="G901" t="s">
        <v>89</v>
      </c>
      <c r="H901" t="s">
        <v>218</v>
      </c>
      <c r="I901">
        <v>0</v>
      </c>
      <c r="J901">
        <v>5178.79</v>
      </c>
      <c r="K901" t="s">
        <v>645</v>
      </c>
      <c r="L901" t="s">
        <v>229</v>
      </c>
      <c r="N901" t="s">
        <v>192</v>
      </c>
    </row>
    <row r="902" spans="1:14" x14ac:dyDescent="0.45">
      <c r="A902">
        <v>901</v>
      </c>
      <c r="B902">
        <v>339</v>
      </c>
      <c r="C902" t="s">
        <v>72</v>
      </c>
      <c r="D902" t="s">
        <v>644</v>
      </c>
      <c r="E902">
        <v>2100</v>
      </c>
      <c r="F902" t="s">
        <v>91</v>
      </c>
      <c r="G902" t="s">
        <v>89</v>
      </c>
      <c r="H902" t="s">
        <v>218</v>
      </c>
      <c r="I902">
        <v>5122.7</v>
      </c>
      <c r="J902">
        <v>0</v>
      </c>
      <c r="K902" t="s">
        <v>645</v>
      </c>
      <c r="L902" t="s">
        <v>229</v>
      </c>
      <c r="N902" t="s">
        <v>192</v>
      </c>
    </row>
    <row r="903" spans="1:14" x14ac:dyDescent="0.45">
      <c r="A903">
        <v>902</v>
      </c>
      <c r="B903">
        <v>340</v>
      </c>
      <c r="C903" t="s">
        <v>72</v>
      </c>
      <c r="D903" t="s">
        <v>646</v>
      </c>
      <c r="E903">
        <v>6030</v>
      </c>
      <c r="F903" t="s">
        <v>123</v>
      </c>
      <c r="G903" t="s">
        <v>117</v>
      </c>
      <c r="H903" t="s">
        <v>218</v>
      </c>
      <c r="I903">
        <v>7106</v>
      </c>
      <c r="J903">
        <v>0</v>
      </c>
      <c r="K903" t="s">
        <v>647</v>
      </c>
      <c r="L903" t="s">
        <v>232</v>
      </c>
      <c r="N903" t="s">
        <v>192</v>
      </c>
    </row>
    <row r="904" spans="1:14" x14ac:dyDescent="0.45">
      <c r="A904">
        <v>903</v>
      </c>
      <c r="B904">
        <v>340</v>
      </c>
      <c r="C904" t="s">
        <v>72</v>
      </c>
      <c r="D904" t="s">
        <v>646</v>
      </c>
      <c r="E904">
        <v>1000</v>
      </c>
      <c r="F904" t="s">
        <v>77</v>
      </c>
      <c r="G904" t="s">
        <v>78</v>
      </c>
      <c r="H904" t="s">
        <v>218</v>
      </c>
      <c r="I904">
        <v>0</v>
      </c>
      <c r="J904">
        <v>7106</v>
      </c>
      <c r="K904" t="s">
        <v>647</v>
      </c>
      <c r="L904" t="s">
        <v>232</v>
      </c>
      <c r="N904" t="s">
        <v>192</v>
      </c>
    </row>
    <row r="905" spans="1:14" x14ac:dyDescent="0.45">
      <c r="A905">
        <v>904</v>
      </c>
      <c r="B905">
        <v>341</v>
      </c>
      <c r="C905" t="s">
        <v>72</v>
      </c>
      <c r="D905" t="s">
        <v>648</v>
      </c>
      <c r="E905">
        <v>6040</v>
      </c>
      <c r="F905" t="s">
        <v>125</v>
      </c>
      <c r="G905" t="s">
        <v>117</v>
      </c>
      <c r="H905" t="s">
        <v>218</v>
      </c>
      <c r="I905">
        <v>2897.45</v>
      </c>
      <c r="J905">
        <v>0</v>
      </c>
      <c r="K905" t="s">
        <v>649</v>
      </c>
      <c r="L905" t="s">
        <v>226</v>
      </c>
      <c r="N905" t="s">
        <v>192</v>
      </c>
    </row>
    <row r="906" spans="1:14" x14ac:dyDescent="0.45">
      <c r="A906">
        <v>905</v>
      </c>
      <c r="B906">
        <v>341</v>
      </c>
      <c r="C906" t="s">
        <v>72</v>
      </c>
      <c r="D906" t="s">
        <v>648</v>
      </c>
      <c r="E906">
        <v>1000</v>
      </c>
      <c r="F906" t="s">
        <v>77</v>
      </c>
      <c r="G906" t="s">
        <v>78</v>
      </c>
      <c r="H906" t="s">
        <v>218</v>
      </c>
      <c r="I906">
        <v>0</v>
      </c>
      <c r="J906">
        <v>2317.96</v>
      </c>
      <c r="K906" t="s">
        <v>649</v>
      </c>
      <c r="L906" t="s">
        <v>226</v>
      </c>
      <c r="N906" t="s">
        <v>192</v>
      </c>
    </row>
    <row r="907" spans="1:14" x14ac:dyDescent="0.45">
      <c r="A907">
        <v>906</v>
      </c>
      <c r="B907">
        <v>341</v>
      </c>
      <c r="C907" t="s">
        <v>72</v>
      </c>
      <c r="D907" t="s">
        <v>648</v>
      </c>
      <c r="E907">
        <v>2000</v>
      </c>
      <c r="F907" t="s">
        <v>88</v>
      </c>
      <c r="G907" t="s">
        <v>89</v>
      </c>
      <c r="H907" t="s">
        <v>218</v>
      </c>
      <c r="I907">
        <v>0</v>
      </c>
      <c r="J907">
        <v>579.49</v>
      </c>
      <c r="K907" t="s">
        <v>649</v>
      </c>
      <c r="L907" t="s">
        <v>226</v>
      </c>
      <c r="N907" t="s">
        <v>192</v>
      </c>
    </row>
    <row r="908" spans="1:14" x14ac:dyDescent="0.45">
      <c r="A908">
        <v>907</v>
      </c>
      <c r="B908">
        <v>342</v>
      </c>
      <c r="C908" t="s">
        <v>72</v>
      </c>
      <c r="D908" t="s">
        <v>646</v>
      </c>
      <c r="E908">
        <v>6050</v>
      </c>
      <c r="F908" t="s">
        <v>127</v>
      </c>
      <c r="G908" t="s">
        <v>117</v>
      </c>
      <c r="H908" t="s">
        <v>218</v>
      </c>
      <c r="I908">
        <v>1450</v>
      </c>
      <c r="J908">
        <v>0</v>
      </c>
      <c r="K908" t="s">
        <v>650</v>
      </c>
      <c r="L908" t="s">
        <v>236</v>
      </c>
      <c r="N908" t="s">
        <v>192</v>
      </c>
    </row>
    <row r="909" spans="1:14" x14ac:dyDescent="0.45">
      <c r="A909">
        <v>908</v>
      </c>
      <c r="B909">
        <v>342</v>
      </c>
      <c r="C909" t="s">
        <v>72</v>
      </c>
      <c r="D909" t="s">
        <v>646</v>
      </c>
      <c r="E909">
        <v>1200</v>
      </c>
      <c r="F909" t="s">
        <v>82</v>
      </c>
      <c r="G909" t="s">
        <v>78</v>
      </c>
      <c r="H909" t="s">
        <v>218</v>
      </c>
      <c r="I909">
        <v>0</v>
      </c>
      <c r="J909">
        <v>1450</v>
      </c>
      <c r="K909" t="s">
        <v>650</v>
      </c>
      <c r="L909" t="s">
        <v>236</v>
      </c>
      <c r="N909" t="s">
        <v>192</v>
      </c>
    </row>
    <row r="910" spans="1:14" x14ac:dyDescent="0.45">
      <c r="A910">
        <v>909</v>
      </c>
      <c r="B910">
        <v>343</v>
      </c>
      <c r="C910" t="s">
        <v>72</v>
      </c>
      <c r="D910" t="s">
        <v>651</v>
      </c>
      <c r="E910">
        <v>6060</v>
      </c>
      <c r="F910" t="s">
        <v>129</v>
      </c>
      <c r="G910" t="s">
        <v>117</v>
      </c>
      <c r="H910" t="s">
        <v>218</v>
      </c>
      <c r="I910">
        <v>2289</v>
      </c>
      <c r="J910">
        <v>0</v>
      </c>
      <c r="K910" t="s">
        <v>652</v>
      </c>
      <c r="L910" t="s">
        <v>232</v>
      </c>
      <c r="N910" t="s">
        <v>192</v>
      </c>
    </row>
    <row r="911" spans="1:14" x14ac:dyDescent="0.45">
      <c r="A911">
        <v>910</v>
      </c>
      <c r="B911">
        <v>343</v>
      </c>
      <c r="C911" t="s">
        <v>72</v>
      </c>
      <c r="D911" t="s">
        <v>651</v>
      </c>
      <c r="E911">
        <v>1000</v>
      </c>
      <c r="F911" t="s">
        <v>77</v>
      </c>
      <c r="G911" t="s">
        <v>78</v>
      </c>
      <c r="H911" t="s">
        <v>218</v>
      </c>
      <c r="I911">
        <v>0</v>
      </c>
      <c r="J911">
        <v>2289</v>
      </c>
      <c r="K911" t="s">
        <v>652</v>
      </c>
      <c r="L911" t="s">
        <v>232</v>
      </c>
      <c r="N911" t="s">
        <v>192</v>
      </c>
    </row>
    <row r="912" spans="1:14" x14ac:dyDescent="0.45">
      <c r="A912">
        <v>911</v>
      </c>
      <c r="B912">
        <v>344</v>
      </c>
      <c r="C912" t="s">
        <v>72</v>
      </c>
      <c r="D912" t="s">
        <v>653</v>
      </c>
      <c r="E912">
        <v>7000</v>
      </c>
      <c r="F912" t="s">
        <v>133</v>
      </c>
      <c r="G912" t="s">
        <v>117</v>
      </c>
      <c r="H912" t="s">
        <v>218</v>
      </c>
      <c r="I912">
        <v>1100</v>
      </c>
      <c r="J912">
        <v>0</v>
      </c>
      <c r="K912" t="s">
        <v>654</v>
      </c>
      <c r="L912" t="s">
        <v>241</v>
      </c>
      <c r="N912" t="s">
        <v>192</v>
      </c>
    </row>
    <row r="913" spans="1:14" x14ac:dyDescent="0.45">
      <c r="A913">
        <v>912</v>
      </c>
      <c r="B913">
        <v>344</v>
      </c>
      <c r="C913" t="s">
        <v>72</v>
      </c>
      <c r="D913" t="s">
        <v>653</v>
      </c>
      <c r="E913">
        <v>1500</v>
      </c>
      <c r="F913" t="s">
        <v>86</v>
      </c>
      <c r="G913" t="s">
        <v>78</v>
      </c>
      <c r="H913" t="s">
        <v>218</v>
      </c>
      <c r="I913">
        <v>0</v>
      </c>
      <c r="J913">
        <v>1100</v>
      </c>
      <c r="K913" t="s">
        <v>654</v>
      </c>
      <c r="L913" t="s">
        <v>241</v>
      </c>
      <c r="N913" t="s">
        <v>192</v>
      </c>
    </row>
    <row r="914" spans="1:14" x14ac:dyDescent="0.45">
      <c r="A914">
        <v>913</v>
      </c>
      <c r="B914">
        <v>345</v>
      </c>
      <c r="C914" t="s">
        <v>72</v>
      </c>
      <c r="D914" t="s">
        <v>655</v>
      </c>
      <c r="E914">
        <v>2000</v>
      </c>
      <c r="F914" t="s">
        <v>88</v>
      </c>
      <c r="G914" t="s">
        <v>89</v>
      </c>
      <c r="H914" t="s">
        <v>218</v>
      </c>
      <c r="I914">
        <v>3737.96</v>
      </c>
      <c r="J914">
        <v>0</v>
      </c>
      <c r="K914" t="s">
        <v>656</v>
      </c>
      <c r="L914" t="s">
        <v>232</v>
      </c>
      <c r="N914" t="s">
        <v>192</v>
      </c>
    </row>
    <row r="915" spans="1:14" x14ac:dyDescent="0.45">
      <c r="A915">
        <v>914</v>
      </c>
      <c r="B915">
        <v>345</v>
      </c>
      <c r="C915" t="s">
        <v>72</v>
      </c>
      <c r="D915" t="s">
        <v>655</v>
      </c>
      <c r="E915">
        <v>1000</v>
      </c>
      <c r="F915" t="s">
        <v>77</v>
      </c>
      <c r="G915" t="s">
        <v>78</v>
      </c>
      <c r="H915" t="s">
        <v>218</v>
      </c>
      <c r="I915">
        <v>0</v>
      </c>
      <c r="J915">
        <v>3737.96</v>
      </c>
      <c r="K915" t="s">
        <v>656</v>
      </c>
      <c r="L915" t="s">
        <v>232</v>
      </c>
      <c r="N915" t="s">
        <v>192</v>
      </c>
    </row>
    <row r="916" spans="1:14" x14ac:dyDescent="0.45">
      <c r="A916">
        <v>915</v>
      </c>
      <c r="B916">
        <v>346</v>
      </c>
      <c r="C916" t="s">
        <v>73</v>
      </c>
      <c r="D916" t="s">
        <v>638</v>
      </c>
      <c r="E916">
        <v>1100</v>
      </c>
      <c r="F916" t="s">
        <v>80</v>
      </c>
      <c r="G916" t="s">
        <v>78</v>
      </c>
      <c r="H916" t="s">
        <v>218</v>
      </c>
      <c r="I916">
        <v>59973.02</v>
      </c>
      <c r="J916">
        <v>0</v>
      </c>
      <c r="K916" t="s">
        <v>657</v>
      </c>
      <c r="L916" t="s">
        <v>220</v>
      </c>
      <c r="N916" t="s">
        <v>192</v>
      </c>
    </row>
    <row r="917" spans="1:14" x14ac:dyDescent="0.45">
      <c r="A917">
        <v>916</v>
      </c>
      <c r="B917">
        <v>346</v>
      </c>
      <c r="C917" t="s">
        <v>73</v>
      </c>
      <c r="D917" t="s">
        <v>638</v>
      </c>
      <c r="E917">
        <v>4010</v>
      </c>
      <c r="F917" t="s">
        <v>101</v>
      </c>
      <c r="G917" t="s">
        <v>99</v>
      </c>
      <c r="H917" t="s">
        <v>218</v>
      </c>
      <c r="I917">
        <v>0</v>
      </c>
      <c r="J917">
        <v>25188.67</v>
      </c>
      <c r="K917" t="s">
        <v>657</v>
      </c>
      <c r="L917" t="s">
        <v>220</v>
      </c>
      <c r="N917" t="s">
        <v>192</v>
      </c>
    </row>
    <row r="918" spans="1:14" x14ac:dyDescent="0.45">
      <c r="A918">
        <v>917</v>
      </c>
      <c r="B918">
        <v>346</v>
      </c>
      <c r="C918" t="s">
        <v>73</v>
      </c>
      <c r="D918" t="s">
        <v>638</v>
      </c>
      <c r="E918">
        <v>4020</v>
      </c>
      <c r="F918" t="s">
        <v>103</v>
      </c>
      <c r="G918" t="s">
        <v>99</v>
      </c>
      <c r="H918" t="s">
        <v>218</v>
      </c>
      <c r="I918">
        <v>0</v>
      </c>
      <c r="J918">
        <v>19791.099999999999</v>
      </c>
      <c r="K918" t="s">
        <v>657</v>
      </c>
      <c r="L918" t="s">
        <v>220</v>
      </c>
      <c r="N918" t="s">
        <v>192</v>
      </c>
    </row>
    <row r="919" spans="1:14" x14ac:dyDescent="0.45">
      <c r="A919">
        <v>918</v>
      </c>
      <c r="B919">
        <v>346</v>
      </c>
      <c r="C919" t="s">
        <v>73</v>
      </c>
      <c r="D919" t="s">
        <v>638</v>
      </c>
      <c r="E919">
        <v>4030</v>
      </c>
      <c r="F919" t="s">
        <v>105</v>
      </c>
      <c r="G919" t="s">
        <v>99</v>
      </c>
      <c r="H919" t="s">
        <v>218</v>
      </c>
      <c r="I919">
        <v>0</v>
      </c>
      <c r="J919">
        <v>14993.25</v>
      </c>
      <c r="K919" t="s">
        <v>657</v>
      </c>
      <c r="L919" t="s">
        <v>220</v>
      </c>
      <c r="N919" t="s">
        <v>192</v>
      </c>
    </row>
    <row r="920" spans="1:14" x14ac:dyDescent="0.45">
      <c r="A920">
        <v>919</v>
      </c>
      <c r="B920">
        <v>347</v>
      </c>
      <c r="C920" t="s">
        <v>73</v>
      </c>
      <c r="D920" t="s">
        <v>640</v>
      </c>
      <c r="E920">
        <v>1000</v>
      </c>
      <c r="F920" t="s">
        <v>77</v>
      </c>
      <c r="G920" t="s">
        <v>78</v>
      </c>
      <c r="H920" t="s">
        <v>218</v>
      </c>
      <c r="I920">
        <v>56592.2</v>
      </c>
      <c r="J920">
        <v>0</v>
      </c>
      <c r="K920" t="s">
        <v>658</v>
      </c>
      <c r="L920" t="s">
        <v>223</v>
      </c>
      <c r="N920" t="s">
        <v>192</v>
      </c>
    </row>
    <row r="921" spans="1:14" x14ac:dyDescent="0.45">
      <c r="A921">
        <v>920</v>
      </c>
      <c r="B921">
        <v>347</v>
      </c>
      <c r="C921" t="s">
        <v>73</v>
      </c>
      <c r="D921" t="s">
        <v>640</v>
      </c>
      <c r="E921">
        <v>1100</v>
      </c>
      <c r="F921" t="s">
        <v>80</v>
      </c>
      <c r="G921" t="s">
        <v>78</v>
      </c>
      <c r="H921" t="s">
        <v>218</v>
      </c>
      <c r="I921">
        <v>0</v>
      </c>
      <c r="J921">
        <v>56592.2</v>
      </c>
      <c r="K921" t="s">
        <v>658</v>
      </c>
      <c r="L921" t="s">
        <v>223</v>
      </c>
      <c r="N921" t="s">
        <v>192</v>
      </c>
    </row>
    <row r="922" spans="1:14" x14ac:dyDescent="0.45">
      <c r="A922">
        <v>921</v>
      </c>
      <c r="B922">
        <v>348</v>
      </c>
      <c r="C922" t="s">
        <v>73</v>
      </c>
      <c r="D922" t="s">
        <v>642</v>
      </c>
      <c r="E922">
        <v>5010</v>
      </c>
      <c r="F922" t="s">
        <v>112</v>
      </c>
      <c r="G922" t="s">
        <v>110</v>
      </c>
      <c r="H922" t="s">
        <v>218</v>
      </c>
      <c r="I922">
        <v>3406.08</v>
      </c>
      <c r="J922">
        <v>0</v>
      </c>
      <c r="K922" t="s">
        <v>659</v>
      </c>
      <c r="L922" t="s">
        <v>226</v>
      </c>
      <c r="N922" t="s">
        <v>192</v>
      </c>
    </row>
    <row r="923" spans="1:14" x14ac:dyDescent="0.45">
      <c r="A923">
        <v>922</v>
      </c>
      <c r="B923">
        <v>348</v>
      </c>
      <c r="C923" t="s">
        <v>73</v>
      </c>
      <c r="D923" t="s">
        <v>642</v>
      </c>
      <c r="E923">
        <v>5020</v>
      </c>
      <c r="F923" t="s">
        <v>114</v>
      </c>
      <c r="G923" t="s">
        <v>110</v>
      </c>
      <c r="H923" t="s">
        <v>218</v>
      </c>
      <c r="I923">
        <v>2786.79</v>
      </c>
      <c r="J923">
        <v>0</v>
      </c>
      <c r="K923" t="s">
        <v>659</v>
      </c>
      <c r="L923" t="s">
        <v>226</v>
      </c>
      <c r="N923" t="s">
        <v>192</v>
      </c>
    </row>
    <row r="924" spans="1:14" x14ac:dyDescent="0.45">
      <c r="A924">
        <v>923</v>
      </c>
      <c r="B924">
        <v>348</v>
      </c>
      <c r="C924" t="s">
        <v>73</v>
      </c>
      <c r="D924" t="s">
        <v>642</v>
      </c>
      <c r="E924">
        <v>1000</v>
      </c>
      <c r="F924" t="s">
        <v>77</v>
      </c>
      <c r="G924" t="s">
        <v>78</v>
      </c>
      <c r="H924" t="s">
        <v>218</v>
      </c>
      <c r="I924">
        <v>0</v>
      </c>
      <c r="J924">
        <v>4335.01</v>
      </c>
      <c r="K924" t="s">
        <v>659</v>
      </c>
      <c r="L924" t="s">
        <v>226</v>
      </c>
      <c r="N924" t="s">
        <v>192</v>
      </c>
    </row>
    <row r="925" spans="1:14" x14ac:dyDescent="0.45">
      <c r="A925">
        <v>924</v>
      </c>
      <c r="B925">
        <v>348</v>
      </c>
      <c r="C925" t="s">
        <v>73</v>
      </c>
      <c r="D925" t="s">
        <v>642</v>
      </c>
      <c r="E925">
        <v>2000</v>
      </c>
      <c r="F925" t="s">
        <v>88</v>
      </c>
      <c r="G925" t="s">
        <v>89</v>
      </c>
      <c r="H925" t="s">
        <v>218</v>
      </c>
      <c r="I925">
        <v>0</v>
      </c>
      <c r="J925">
        <v>1857.86</v>
      </c>
      <c r="K925" t="s">
        <v>659</v>
      </c>
      <c r="L925" t="s">
        <v>226</v>
      </c>
      <c r="N925" t="s">
        <v>192</v>
      </c>
    </row>
    <row r="926" spans="1:14" x14ac:dyDescent="0.45">
      <c r="A926">
        <v>925</v>
      </c>
      <c r="B926">
        <v>349</v>
      </c>
      <c r="C926" t="s">
        <v>73</v>
      </c>
      <c r="D926" t="s">
        <v>644</v>
      </c>
      <c r="E926">
        <v>6010</v>
      </c>
      <c r="F926" t="s">
        <v>119</v>
      </c>
      <c r="G926" t="s">
        <v>117</v>
      </c>
      <c r="H926" t="s">
        <v>218</v>
      </c>
      <c r="I926">
        <v>28165.360000000001</v>
      </c>
      <c r="J926">
        <v>0</v>
      </c>
      <c r="K926" t="s">
        <v>660</v>
      </c>
      <c r="L926" t="s">
        <v>229</v>
      </c>
      <c r="N926" t="s">
        <v>192</v>
      </c>
    </row>
    <row r="927" spans="1:14" x14ac:dyDescent="0.45">
      <c r="A927">
        <v>926</v>
      </c>
      <c r="B927">
        <v>349</v>
      </c>
      <c r="C927" t="s">
        <v>73</v>
      </c>
      <c r="D927" t="s">
        <v>644</v>
      </c>
      <c r="E927">
        <v>6020</v>
      </c>
      <c r="F927" t="s">
        <v>121</v>
      </c>
      <c r="G927" t="s">
        <v>117</v>
      </c>
      <c r="H927" t="s">
        <v>218</v>
      </c>
      <c r="I927">
        <v>3943.15</v>
      </c>
      <c r="J927">
        <v>0</v>
      </c>
      <c r="K927" t="s">
        <v>660</v>
      </c>
      <c r="L927" t="s">
        <v>229</v>
      </c>
      <c r="N927" t="s">
        <v>192</v>
      </c>
    </row>
    <row r="928" spans="1:14" x14ac:dyDescent="0.45">
      <c r="A928">
        <v>927</v>
      </c>
      <c r="B928">
        <v>349</v>
      </c>
      <c r="C928" t="s">
        <v>73</v>
      </c>
      <c r="D928" t="s">
        <v>644</v>
      </c>
      <c r="E928">
        <v>1000</v>
      </c>
      <c r="F928" t="s">
        <v>77</v>
      </c>
      <c r="G928" t="s">
        <v>78</v>
      </c>
      <c r="H928" t="s">
        <v>218</v>
      </c>
      <c r="I928">
        <v>0</v>
      </c>
      <c r="J928">
        <v>32073.74</v>
      </c>
      <c r="K928" t="s">
        <v>660</v>
      </c>
      <c r="L928" t="s">
        <v>229</v>
      </c>
      <c r="N928" t="s">
        <v>192</v>
      </c>
    </row>
    <row r="929" spans="1:14" x14ac:dyDescent="0.45">
      <c r="A929">
        <v>928</v>
      </c>
      <c r="B929">
        <v>349</v>
      </c>
      <c r="C929" t="s">
        <v>73</v>
      </c>
      <c r="D929" t="s">
        <v>644</v>
      </c>
      <c r="E929">
        <v>2100</v>
      </c>
      <c r="F929" t="s">
        <v>91</v>
      </c>
      <c r="G929" t="s">
        <v>89</v>
      </c>
      <c r="H929" t="s">
        <v>218</v>
      </c>
      <c r="I929">
        <v>0</v>
      </c>
      <c r="J929">
        <v>3210.85</v>
      </c>
      <c r="K929" t="s">
        <v>660</v>
      </c>
      <c r="L929" t="s">
        <v>229</v>
      </c>
      <c r="N929" t="s">
        <v>192</v>
      </c>
    </row>
    <row r="930" spans="1:14" x14ac:dyDescent="0.45">
      <c r="A930">
        <v>929</v>
      </c>
      <c r="B930">
        <v>349</v>
      </c>
      <c r="C930" t="s">
        <v>73</v>
      </c>
      <c r="D930" t="s">
        <v>644</v>
      </c>
      <c r="E930">
        <v>2100</v>
      </c>
      <c r="F930" t="s">
        <v>91</v>
      </c>
      <c r="G930" t="s">
        <v>89</v>
      </c>
      <c r="H930" t="s">
        <v>218</v>
      </c>
      <c r="I930">
        <v>3176.08</v>
      </c>
      <c r="J930">
        <v>0</v>
      </c>
      <c r="K930" t="s">
        <v>660</v>
      </c>
      <c r="L930" t="s">
        <v>229</v>
      </c>
      <c r="N930" t="s">
        <v>192</v>
      </c>
    </row>
    <row r="931" spans="1:14" x14ac:dyDescent="0.45">
      <c r="A931">
        <v>930</v>
      </c>
      <c r="B931">
        <v>350</v>
      </c>
      <c r="C931" t="s">
        <v>73</v>
      </c>
      <c r="D931" t="s">
        <v>646</v>
      </c>
      <c r="E931">
        <v>6030</v>
      </c>
      <c r="F931" t="s">
        <v>123</v>
      </c>
      <c r="G931" t="s">
        <v>117</v>
      </c>
      <c r="H931" t="s">
        <v>218</v>
      </c>
      <c r="I931">
        <v>4405.72</v>
      </c>
      <c r="J931">
        <v>0</v>
      </c>
      <c r="K931" t="s">
        <v>661</v>
      </c>
      <c r="L931" t="s">
        <v>232</v>
      </c>
      <c r="N931" t="s">
        <v>192</v>
      </c>
    </row>
    <row r="932" spans="1:14" x14ac:dyDescent="0.45">
      <c r="A932">
        <v>931</v>
      </c>
      <c r="B932">
        <v>350</v>
      </c>
      <c r="C932" t="s">
        <v>73</v>
      </c>
      <c r="D932" t="s">
        <v>646</v>
      </c>
      <c r="E932">
        <v>1000</v>
      </c>
      <c r="F932" t="s">
        <v>77</v>
      </c>
      <c r="G932" t="s">
        <v>78</v>
      </c>
      <c r="H932" t="s">
        <v>218</v>
      </c>
      <c r="I932">
        <v>0</v>
      </c>
      <c r="J932">
        <v>4405.72</v>
      </c>
      <c r="K932" t="s">
        <v>661</v>
      </c>
      <c r="L932" t="s">
        <v>232</v>
      </c>
      <c r="N932" t="s">
        <v>192</v>
      </c>
    </row>
    <row r="933" spans="1:14" x14ac:dyDescent="0.45">
      <c r="A933">
        <v>932</v>
      </c>
      <c r="B933">
        <v>351</v>
      </c>
      <c r="C933" t="s">
        <v>73</v>
      </c>
      <c r="D933" t="s">
        <v>648</v>
      </c>
      <c r="E933">
        <v>6040</v>
      </c>
      <c r="F933" t="s">
        <v>125</v>
      </c>
      <c r="G933" t="s">
        <v>117</v>
      </c>
      <c r="H933" t="s">
        <v>218</v>
      </c>
      <c r="I933">
        <v>1882.69</v>
      </c>
      <c r="J933">
        <v>0</v>
      </c>
      <c r="K933" t="s">
        <v>662</v>
      </c>
      <c r="L933" t="s">
        <v>226</v>
      </c>
      <c r="N933" t="s">
        <v>192</v>
      </c>
    </row>
    <row r="934" spans="1:14" x14ac:dyDescent="0.45">
      <c r="A934">
        <v>933</v>
      </c>
      <c r="B934">
        <v>351</v>
      </c>
      <c r="C934" t="s">
        <v>73</v>
      </c>
      <c r="D934" t="s">
        <v>648</v>
      </c>
      <c r="E934">
        <v>1000</v>
      </c>
      <c r="F934" t="s">
        <v>77</v>
      </c>
      <c r="G934" t="s">
        <v>78</v>
      </c>
      <c r="H934" t="s">
        <v>218</v>
      </c>
      <c r="I934">
        <v>0</v>
      </c>
      <c r="J934">
        <v>1506.15</v>
      </c>
      <c r="K934" t="s">
        <v>662</v>
      </c>
      <c r="L934" t="s">
        <v>226</v>
      </c>
      <c r="N934" t="s">
        <v>192</v>
      </c>
    </row>
    <row r="935" spans="1:14" x14ac:dyDescent="0.45">
      <c r="A935">
        <v>934</v>
      </c>
      <c r="B935">
        <v>351</v>
      </c>
      <c r="C935" t="s">
        <v>73</v>
      </c>
      <c r="D935" t="s">
        <v>648</v>
      </c>
      <c r="E935">
        <v>2000</v>
      </c>
      <c r="F935" t="s">
        <v>88</v>
      </c>
      <c r="G935" t="s">
        <v>89</v>
      </c>
      <c r="H935" t="s">
        <v>218</v>
      </c>
      <c r="I935">
        <v>0</v>
      </c>
      <c r="J935">
        <v>376.54</v>
      </c>
      <c r="K935" t="s">
        <v>662</v>
      </c>
      <c r="L935" t="s">
        <v>226</v>
      </c>
      <c r="N935" t="s">
        <v>192</v>
      </c>
    </row>
    <row r="936" spans="1:14" x14ac:dyDescent="0.45">
      <c r="A936">
        <v>935</v>
      </c>
      <c r="B936">
        <v>352</v>
      </c>
      <c r="C936" t="s">
        <v>73</v>
      </c>
      <c r="D936" t="s">
        <v>646</v>
      </c>
      <c r="E936">
        <v>6050</v>
      </c>
      <c r="F936" t="s">
        <v>127</v>
      </c>
      <c r="G936" t="s">
        <v>117</v>
      </c>
      <c r="H936" t="s">
        <v>218</v>
      </c>
      <c r="I936">
        <v>899</v>
      </c>
      <c r="J936">
        <v>0</v>
      </c>
      <c r="K936" t="s">
        <v>663</v>
      </c>
      <c r="L936" t="s">
        <v>236</v>
      </c>
      <c r="N936" t="s">
        <v>192</v>
      </c>
    </row>
    <row r="937" spans="1:14" x14ac:dyDescent="0.45">
      <c r="A937">
        <v>936</v>
      </c>
      <c r="B937">
        <v>352</v>
      </c>
      <c r="C937" t="s">
        <v>73</v>
      </c>
      <c r="D937" t="s">
        <v>646</v>
      </c>
      <c r="E937">
        <v>1200</v>
      </c>
      <c r="F937" t="s">
        <v>82</v>
      </c>
      <c r="G937" t="s">
        <v>78</v>
      </c>
      <c r="H937" t="s">
        <v>218</v>
      </c>
      <c r="I937">
        <v>0</v>
      </c>
      <c r="J937">
        <v>899</v>
      </c>
      <c r="K937" t="s">
        <v>663</v>
      </c>
      <c r="L937" t="s">
        <v>236</v>
      </c>
      <c r="N937" t="s">
        <v>192</v>
      </c>
    </row>
    <row r="938" spans="1:14" x14ac:dyDescent="0.45">
      <c r="A938">
        <v>937</v>
      </c>
      <c r="B938">
        <v>353</v>
      </c>
      <c r="C938" t="s">
        <v>73</v>
      </c>
      <c r="D938" t="s">
        <v>651</v>
      </c>
      <c r="E938">
        <v>6060</v>
      </c>
      <c r="F938" t="s">
        <v>129</v>
      </c>
      <c r="G938" t="s">
        <v>117</v>
      </c>
      <c r="H938" t="s">
        <v>218</v>
      </c>
      <c r="I938">
        <v>1419.18</v>
      </c>
      <c r="J938">
        <v>0</v>
      </c>
      <c r="K938" t="s">
        <v>664</v>
      </c>
      <c r="L938" t="s">
        <v>232</v>
      </c>
      <c r="N938" t="s">
        <v>192</v>
      </c>
    </row>
    <row r="939" spans="1:14" x14ac:dyDescent="0.45">
      <c r="A939">
        <v>938</v>
      </c>
      <c r="B939">
        <v>353</v>
      </c>
      <c r="C939" t="s">
        <v>73</v>
      </c>
      <c r="D939" t="s">
        <v>651</v>
      </c>
      <c r="E939">
        <v>1000</v>
      </c>
      <c r="F939" t="s">
        <v>77</v>
      </c>
      <c r="G939" t="s">
        <v>78</v>
      </c>
      <c r="H939" t="s">
        <v>218</v>
      </c>
      <c r="I939">
        <v>0</v>
      </c>
      <c r="J939">
        <v>1419.18</v>
      </c>
      <c r="K939" t="s">
        <v>664</v>
      </c>
      <c r="L939" t="s">
        <v>232</v>
      </c>
      <c r="N939" t="s">
        <v>192</v>
      </c>
    </row>
    <row r="940" spans="1:14" x14ac:dyDescent="0.45">
      <c r="A940">
        <v>939</v>
      </c>
      <c r="B940">
        <v>354</v>
      </c>
      <c r="C940" t="s">
        <v>73</v>
      </c>
      <c r="D940" t="s">
        <v>653</v>
      </c>
      <c r="E940">
        <v>7000</v>
      </c>
      <c r="F940" t="s">
        <v>133</v>
      </c>
      <c r="G940" t="s">
        <v>117</v>
      </c>
      <c r="H940" t="s">
        <v>218</v>
      </c>
      <c r="I940">
        <v>682</v>
      </c>
      <c r="J940">
        <v>0</v>
      </c>
      <c r="K940" t="s">
        <v>665</v>
      </c>
      <c r="L940" t="s">
        <v>241</v>
      </c>
      <c r="N940" t="s">
        <v>192</v>
      </c>
    </row>
    <row r="941" spans="1:14" x14ac:dyDescent="0.45">
      <c r="A941">
        <v>940</v>
      </c>
      <c r="B941">
        <v>354</v>
      </c>
      <c r="C941" t="s">
        <v>73</v>
      </c>
      <c r="D941" t="s">
        <v>653</v>
      </c>
      <c r="E941">
        <v>1500</v>
      </c>
      <c r="F941" t="s">
        <v>86</v>
      </c>
      <c r="G941" t="s">
        <v>78</v>
      </c>
      <c r="H941" t="s">
        <v>218</v>
      </c>
      <c r="I941">
        <v>0</v>
      </c>
      <c r="J941">
        <v>682</v>
      </c>
      <c r="K941" t="s">
        <v>665</v>
      </c>
      <c r="L941" t="s">
        <v>241</v>
      </c>
      <c r="N941" t="s">
        <v>192</v>
      </c>
    </row>
    <row r="942" spans="1:14" x14ac:dyDescent="0.45">
      <c r="A942">
        <v>941</v>
      </c>
      <c r="B942">
        <v>355</v>
      </c>
      <c r="C942" t="s">
        <v>73</v>
      </c>
      <c r="D942" t="s">
        <v>655</v>
      </c>
      <c r="E942">
        <v>2000</v>
      </c>
      <c r="F942" t="s">
        <v>88</v>
      </c>
      <c r="G942" t="s">
        <v>89</v>
      </c>
      <c r="H942" t="s">
        <v>218</v>
      </c>
      <c r="I942">
        <v>2564.13</v>
      </c>
      <c r="J942">
        <v>0</v>
      </c>
      <c r="K942" t="s">
        <v>666</v>
      </c>
      <c r="L942" t="s">
        <v>232</v>
      </c>
      <c r="N942" t="s">
        <v>192</v>
      </c>
    </row>
    <row r="943" spans="1:14" x14ac:dyDescent="0.45">
      <c r="A943">
        <v>942</v>
      </c>
      <c r="B943">
        <v>355</v>
      </c>
      <c r="C943" t="s">
        <v>73</v>
      </c>
      <c r="D943" t="s">
        <v>655</v>
      </c>
      <c r="E943">
        <v>1000</v>
      </c>
      <c r="F943" t="s">
        <v>77</v>
      </c>
      <c r="G943" t="s">
        <v>78</v>
      </c>
      <c r="H943" t="s">
        <v>218</v>
      </c>
      <c r="I943">
        <v>0</v>
      </c>
      <c r="J943">
        <v>2564.13</v>
      </c>
      <c r="K943" t="s">
        <v>666</v>
      </c>
      <c r="L943" t="s">
        <v>232</v>
      </c>
      <c r="N943" t="s">
        <v>192</v>
      </c>
    </row>
    <row r="944" spans="1:14" x14ac:dyDescent="0.45">
      <c r="A944">
        <v>943</v>
      </c>
      <c r="B944">
        <v>356</v>
      </c>
      <c r="C944" t="s">
        <v>74</v>
      </c>
      <c r="D944" t="s">
        <v>638</v>
      </c>
      <c r="E944">
        <v>1100</v>
      </c>
      <c r="F944" t="s">
        <v>80</v>
      </c>
      <c r="G944" t="s">
        <v>78</v>
      </c>
      <c r="H944" t="s">
        <v>218</v>
      </c>
      <c r="I944">
        <v>58370.52</v>
      </c>
      <c r="J944">
        <v>0</v>
      </c>
      <c r="K944" t="s">
        <v>667</v>
      </c>
      <c r="L944" t="s">
        <v>220</v>
      </c>
      <c r="N944" t="s">
        <v>192</v>
      </c>
    </row>
    <row r="945" spans="1:14" x14ac:dyDescent="0.45">
      <c r="A945">
        <v>944</v>
      </c>
      <c r="B945">
        <v>356</v>
      </c>
      <c r="C945" t="s">
        <v>74</v>
      </c>
      <c r="D945" t="s">
        <v>638</v>
      </c>
      <c r="E945">
        <v>4010</v>
      </c>
      <c r="F945" t="s">
        <v>101</v>
      </c>
      <c r="G945" t="s">
        <v>99</v>
      </c>
      <c r="H945" t="s">
        <v>218</v>
      </c>
      <c r="I945">
        <v>0</v>
      </c>
      <c r="J945">
        <v>24515.62</v>
      </c>
      <c r="K945" t="s">
        <v>667</v>
      </c>
      <c r="L945" t="s">
        <v>220</v>
      </c>
      <c r="N945" t="s">
        <v>192</v>
      </c>
    </row>
    <row r="946" spans="1:14" x14ac:dyDescent="0.45">
      <c r="A946">
        <v>945</v>
      </c>
      <c r="B946">
        <v>356</v>
      </c>
      <c r="C946" t="s">
        <v>74</v>
      </c>
      <c r="D946" t="s">
        <v>638</v>
      </c>
      <c r="E946">
        <v>4020</v>
      </c>
      <c r="F946" t="s">
        <v>103</v>
      </c>
      <c r="G946" t="s">
        <v>99</v>
      </c>
      <c r="H946" t="s">
        <v>218</v>
      </c>
      <c r="I946">
        <v>0</v>
      </c>
      <c r="J946">
        <v>19262.27</v>
      </c>
      <c r="K946" t="s">
        <v>667</v>
      </c>
      <c r="L946" t="s">
        <v>220</v>
      </c>
      <c r="N946" t="s">
        <v>192</v>
      </c>
    </row>
    <row r="947" spans="1:14" x14ac:dyDescent="0.45">
      <c r="A947">
        <v>946</v>
      </c>
      <c r="B947">
        <v>356</v>
      </c>
      <c r="C947" t="s">
        <v>74</v>
      </c>
      <c r="D947" t="s">
        <v>638</v>
      </c>
      <c r="E947">
        <v>4030</v>
      </c>
      <c r="F947" t="s">
        <v>105</v>
      </c>
      <c r="G947" t="s">
        <v>99</v>
      </c>
      <c r="H947" t="s">
        <v>218</v>
      </c>
      <c r="I947">
        <v>0</v>
      </c>
      <c r="J947">
        <v>14592.63</v>
      </c>
      <c r="K947" t="s">
        <v>667</v>
      </c>
      <c r="L947" t="s">
        <v>220</v>
      </c>
      <c r="N947" t="s">
        <v>192</v>
      </c>
    </row>
    <row r="948" spans="1:14" x14ac:dyDescent="0.45">
      <c r="A948">
        <v>947</v>
      </c>
      <c r="B948">
        <v>357</v>
      </c>
      <c r="C948" t="s">
        <v>74</v>
      </c>
      <c r="D948" t="s">
        <v>640</v>
      </c>
      <c r="E948">
        <v>1000</v>
      </c>
      <c r="F948" t="s">
        <v>77</v>
      </c>
      <c r="G948" t="s">
        <v>78</v>
      </c>
      <c r="H948" t="s">
        <v>218</v>
      </c>
      <c r="I948">
        <v>55751.96</v>
      </c>
      <c r="J948">
        <v>0</v>
      </c>
      <c r="K948" t="s">
        <v>668</v>
      </c>
      <c r="L948" t="s">
        <v>223</v>
      </c>
      <c r="N948" t="s">
        <v>192</v>
      </c>
    </row>
    <row r="949" spans="1:14" x14ac:dyDescent="0.45">
      <c r="A949">
        <v>948</v>
      </c>
      <c r="B949">
        <v>357</v>
      </c>
      <c r="C949" t="s">
        <v>74</v>
      </c>
      <c r="D949" t="s">
        <v>640</v>
      </c>
      <c r="E949">
        <v>1100</v>
      </c>
      <c r="F949" t="s">
        <v>80</v>
      </c>
      <c r="G949" t="s">
        <v>78</v>
      </c>
      <c r="H949" t="s">
        <v>218</v>
      </c>
      <c r="I949">
        <v>0</v>
      </c>
      <c r="J949">
        <v>55751.96</v>
      </c>
      <c r="K949" t="s">
        <v>668</v>
      </c>
      <c r="L949" t="s">
        <v>223</v>
      </c>
      <c r="N949" t="s">
        <v>192</v>
      </c>
    </row>
    <row r="950" spans="1:14" x14ac:dyDescent="0.45">
      <c r="A950">
        <v>949</v>
      </c>
      <c r="B950">
        <v>358</v>
      </c>
      <c r="C950" t="s">
        <v>74</v>
      </c>
      <c r="D950" t="s">
        <v>642</v>
      </c>
      <c r="E950">
        <v>5010</v>
      </c>
      <c r="F950" t="s">
        <v>112</v>
      </c>
      <c r="G950" t="s">
        <v>110</v>
      </c>
      <c r="H950" t="s">
        <v>218</v>
      </c>
      <c r="I950">
        <v>3315.06</v>
      </c>
      <c r="J950">
        <v>0</v>
      </c>
      <c r="K950" t="s">
        <v>669</v>
      </c>
      <c r="L950" t="s">
        <v>226</v>
      </c>
      <c r="N950" t="s">
        <v>192</v>
      </c>
    </row>
    <row r="951" spans="1:14" x14ac:dyDescent="0.45">
      <c r="A951">
        <v>950</v>
      </c>
      <c r="B951">
        <v>358</v>
      </c>
      <c r="C951" t="s">
        <v>74</v>
      </c>
      <c r="D951" t="s">
        <v>642</v>
      </c>
      <c r="E951">
        <v>5020</v>
      </c>
      <c r="F951" t="s">
        <v>114</v>
      </c>
      <c r="G951" t="s">
        <v>110</v>
      </c>
      <c r="H951" t="s">
        <v>218</v>
      </c>
      <c r="I951">
        <v>2712.33</v>
      </c>
      <c r="J951">
        <v>0</v>
      </c>
      <c r="K951" t="s">
        <v>669</v>
      </c>
      <c r="L951" t="s">
        <v>226</v>
      </c>
      <c r="N951" t="s">
        <v>192</v>
      </c>
    </row>
    <row r="952" spans="1:14" x14ac:dyDescent="0.45">
      <c r="A952">
        <v>951</v>
      </c>
      <c r="B952">
        <v>358</v>
      </c>
      <c r="C952" t="s">
        <v>74</v>
      </c>
      <c r="D952" t="s">
        <v>642</v>
      </c>
      <c r="E952">
        <v>1000</v>
      </c>
      <c r="F952" t="s">
        <v>77</v>
      </c>
      <c r="G952" t="s">
        <v>78</v>
      </c>
      <c r="H952" t="s">
        <v>218</v>
      </c>
      <c r="I952">
        <v>0</v>
      </c>
      <c r="J952">
        <v>4219.17</v>
      </c>
      <c r="K952" t="s">
        <v>669</v>
      </c>
      <c r="L952" t="s">
        <v>226</v>
      </c>
      <c r="N952" t="s">
        <v>192</v>
      </c>
    </row>
    <row r="953" spans="1:14" x14ac:dyDescent="0.45">
      <c r="A953">
        <v>952</v>
      </c>
      <c r="B953">
        <v>358</v>
      </c>
      <c r="C953" t="s">
        <v>74</v>
      </c>
      <c r="D953" t="s">
        <v>642</v>
      </c>
      <c r="E953">
        <v>2000</v>
      </c>
      <c r="F953" t="s">
        <v>88</v>
      </c>
      <c r="G953" t="s">
        <v>89</v>
      </c>
      <c r="H953" t="s">
        <v>218</v>
      </c>
      <c r="I953">
        <v>0</v>
      </c>
      <c r="J953">
        <v>1808.22</v>
      </c>
      <c r="K953" t="s">
        <v>669</v>
      </c>
      <c r="L953" t="s">
        <v>226</v>
      </c>
      <c r="N953" t="s">
        <v>192</v>
      </c>
    </row>
    <row r="954" spans="1:14" x14ac:dyDescent="0.45">
      <c r="A954">
        <v>953</v>
      </c>
      <c r="B954">
        <v>359</v>
      </c>
      <c r="C954" t="s">
        <v>74</v>
      </c>
      <c r="D954" t="s">
        <v>644</v>
      </c>
      <c r="E954">
        <v>6010</v>
      </c>
      <c r="F954" t="s">
        <v>119</v>
      </c>
      <c r="G954" t="s">
        <v>117</v>
      </c>
      <c r="H954" t="s">
        <v>218</v>
      </c>
      <c r="I954">
        <v>24985.4</v>
      </c>
      <c r="J954">
        <v>0</v>
      </c>
      <c r="K954" t="s">
        <v>670</v>
      </c>
      <c r="L954" t="s">
        <v>229</v>
      </c>
      <c r="N954" t="s">
        <v>192</v>
      </c>
    </row>
    <row r="955" spans="1:14" x14ac:dyDescent="0.45">
      <c r="A955">
        <v>954</v>
      </c>
      <c r="B955">
        <v>359</v>
      </c>
      <c r="C955" t="s">
        <v>74</v>
      </c>
      <c r="D955" t="s">
        <v>644</v>
      </c>
      <c r="E955">
        <v>6020</v>
      </c>
      <c r="F955" t="s">
        <v>121</v>
      </c>
      <c r="G955" t="s">
        <v>117</v>
      </c>
      <c r="H955" t="s">
        <v>218</v>
      </c>
      <c r="I955">
        <v>3497.96</v>
      </c>
      <c r="J955">
        <v>0</v>
      </c>
      <c r="K955" t="s">
        <v>670</v>
      </c>
      <c r="L955" t="s">
        <v>229</v>
      </c>
      <c r="N955" t="s">
        <v>192</v>
      </c>
    </row>
    <row r="956" spans="1:14" x14ac:dyDescent="0.45">
      <c r="A956">
        <v>955</v>
      </c>
      <c r="B956">
        <v>359</v>
      </c>
      <c r="C956" t="s">
        <v>74</v>
      </c>
      <c r="D956" t="s">
        <v>644</v>
      </c>
      <c r="E956">
        <v>1000</v>
      </c>
      <c r="F956" t="s">
        <v>77</v>
      </c>
      <c r="G956" t="s">
        <v>78</v>
      </c>
      <c r="H956" t="s">
        <v>218</v>
      </c>
      <c r="I956">
        <v>0</v>
      </c>
      <c r="J956">
        <v>28452.51</v>
      </c>
      <c r="K956" t="s">
        <v>670</v>
      </c>
      <c r="L956" t="s">
        <v>229</v>
      </c>
      <c r="N956" t="s">
        <v>192</v>
      </c>
    </row>
    <row r="957" spans="1:14" x14ac:dyDescent="0.45">
      <c r="A957">
        <v>956</v>
      </c>
      <c r="B957">
        <v>359</v>
      </c>
      <c r="C957" t="s">
        <v>74</v>
      </c>
      <c r="D957" t="s">
        <v>644</v>
      </c>
      <c r="E957">
        <v>2100</v>
      </c>
      <c r="F957" t="s">
        <v>91</v>
      </c>
      <c r="G957" t="s">
        <v>89</v>
      </c>
      <c r="H957" t="s">
        <v>218</v>
      </c>
      <c r="I957">
        <v>0</v>
      </c>
      <c r="J957">
        <v>2848.34</v>
      </c>
      <c r="K957" t="s">
        <v>670</v>
      </c>
      <c r="L957" t="s">
        <v>229</v>
      </c>
      <c r="N957" t="s">
        <v>192</v>
      </c>
    </row>
    <row r="958" spans="1:14" x14ac:dyDescent="0.45">
      <c r="A958">
        <v>957</v>
      </c>
      <c r="B958">
        <v>359</v>
      </c>
      <c r="C958" t="s">
        <v>74</v>
      </c>
      <c r="D958" t="s">
        <v>644</v>
      </c>
      <c r="E958">
        <v>2100</v>
      </c>
      <c r="F958" t="s">
        <v>91</v>
      </c>
      <c r="G958" t="s">
        <v>89</v>
      </c>
      <c r="H958" t="s">
        <v>218</v>
      </c>
      <c r="I958">
        <v>2817.49</v>
      </c>
      <c r="J958">
        <v>0</v>
      </c>
      <c r="K958" t="s">
        <v>670</v>
      </c>
      <c r="L958" t="s">
        <v>229</v>
      </c>
      <c r="N958" t="s">
        <v>192</v>
      </c>
    </row>
    <row r="959" spans="1:14" x14ac:dyDescent="0.45">
      <c r="A959">
        <v>958</v>
      </c>
      <c r="B959">
        <v>360</v>
      </c>
      <c r="C959" t="s">
        <v>74</v>
      </c>
      <c r="D959" t="s">
        <v>646</v>
      </c>
      <c r="E959">
        <v>6030</v>
      </c>
      <c r="F959" t="s">
        <v>123</v>
      </c>
      <c r="G959" t="s">
        <v>117</v>
      </c>
      <c r="H959" t="s">
        <v>218</v>
      </c>
      <c r="I959">
        <v>3908.3</v>
      </c>
      <c r="J959">
        <v>0</v>
      </c>
      <c r="K959" t="s">
        <v>671</v>
      </c>
      <c r="L959" t="s">
        <v>232</v>
      </c>
      <c r="N959" t="s">
        <v>192</v>
      </c>
    </row>
    <row r="960" spans="1:14" x14ac:dyDescent="0.45">
      <c r="A960">
        <v>959</v>
      </c>
      <c r="B960">
        <v>360</v>
      </c>
      <c r="C960" t="s">
        <v>74</v>
      </c>
      <c r="D960" t="s">
        <v>646</v>
      </c>
      <c r="E960">
        <v>1000</v>
      </c>
      <c r="F960" t="s">
        <v>77</v>
      </c>
      <c r="G960" t="s">
        <v>78</v>
      </c>
      <c r="H960" t="s">
        <v>218</v>
      </c>
      <c r="I960">
        <v>0</v>
      </c>
      <c r="J960">
        <v>3908.3</v>
      </c>
      <c r="K960" t="s">
        <v>671</v>
      </c>
      <c r="L960" t="s">
        <v>232</v>
      </c>
      <c r="N960" t="s">
        <v>192</v>
      </c>
    </row>
    <row r="961" spans="1:14" x14ac:dyDescent="0.45">
      <c r="A961">
        <v>960</v>
      </c>
      <c r="B961">
        <v>361</v>
      </c>
      <c r="C961" t="s">
        <v>74</v>
      </c>
      <c r="D961" t="s">
        <v>648</v>
      </c>
      <c r="E961">
        <v>6040</v>
      </c>
      <c r="F961" t="s">
        <v>125</v>
      </c>
      <c r="G961" t="s">
        <v>117</v>
      </c>
      <c r="H961" t="s">
        <v>218</v>
      </c>
      <c r="I961">
        <v>1832.38</v>
      </c>
      <c r="J961">
        <v>0</v>
      </c>
      <c r="K961" t="s">
        <v>672</v>
      </c>
      <c r="L961" t="s">
        <v>226</v>
      </c>
      <c r="N961" t="s">
        <v>192</v>
      </c>
    </row>
    <row r="962" spans="1:14" x14ac:dyDescent="0.45">
      <c r="A962">
        <v>961</v>
      </c>
      <c r="B962">
        <v>361</v>
      </c>
      <c r="C962" t="s">
        <v>74</v>
      </c>
      <c r="D962" t="s">
        <v>648</v>
      </c>
      <c r="E962">
        <v>1000</v>
      </c>
      <c r="F962" t="s">
        <v>77</v>
      </c>
      <c r="G962" t="s">
        <v>78</v>
      </c>
      <c r="H962" t="s">
        <v>218</v>
      </c>
      <c r="I962">
        <v>0</v>
      </c>
      <c r="J962">
        <v>1465.9</v>
      </c>
      <c r="K962" t="s">
        <v>672</v>
      </c>
      <c r="L962" t="s">
        <v>226</v>
      </c>
      <c r="N962" t="s">
        <v>192</v>
      </c>
    </row>
    <row r="963" spans="1:14" x14ac:dyDescent="0.45">
      <c r="A963">
        <v>962</v>
      </c>
      <c r="B963">
        <v>361</v>
      </c>
      <c r="C963" t="s">
        <v>74</v>
      </c>
      <c r="D963" t="s">
        <v>648</v>
      </c>
      <c r="E963">
        <v>2000</v>
      </c>
      <c r="F963" t="s">
        <v>88</v>
      </c>
      <c r="G963" t="s">
        <v>89</v>
      </c>
      <c r="H963" t="s">
        <v>218</v>
      </c>
      <c r="I963">
        <v>0</v>
      </c>
      <c r="J963">
        <v>366.48</v>
      </c>
      <c r="K963" t="s">
        <v>672</v>
      </c>
      <c r="L963" t="s">
        <v>226</v>
      </c>
      <c r="N963" t="s">
        <v>192</v>
      </c>
    </row>
    <row r="964" spans="1:14" x14ac:dyDescent="0.45">
      <c r="A964">
        <v>963</v>
      </c>
      <c r="B964">
        <v>362</v>
      </c>
      <c r="C964" t="s">
        <v>74</v>
      </c>
      <c r="D964" t="s">
        <v>646</v>
      </c>
      <c r="E964">
        <v>6050</v>
      </c>
      <c r="F964" t="s">
        <v>127</v>
      </c>
      <c r="G964" t="s">
        <v>117</v>
      </c>
      <c r="H964" t="s">
        <v>218</v>
      </c>
      <c r="I964">
        <v>797.5</v>
      </c>
      <c r="J964">
        <v>0</v>
      </c>
      <c r="K964" t="s">
        <v>673</v>
      </c>
      <c r="L964" t="s">
        <v>236</v>
      </c>
      <c r="N964" t="s">
        <v>192</v>
      </c>
    </row>
    <row r="965" spans="1:14" x14ac:dyDescent="0.45">
      <c r="A965">
        <v>964</v>
      </c>
      <c r="B965">
        <v>362</v>
      </c>
      <c r="C965" t="s">
        <v>74</v>
      </c>
      <c r="D965" t="s">
        <v>646</v>
      </c>
      <c r="E965">
        <v>1200</v>
      </c>
      <c r="F965" t="s">
        <v>82</v>
      </c>
      <c r="G965" t="s">
        <v>78</v>
      </c>
      <c r="H965" t="s">
        <v>218</v>
      </c>
      <c r="I965">
        <v>0</v>
      </c>
      <c r="J965">
        <v>797.5</v>
      </c>
      <c r="K965" t="s">
        <v>673</v>
      </c>
      <c r="L965" t="s">
        <v>236</v>
      </c>
      <c r="N965" t="s">
        <v>192</v>
      </c>
    </row>
    <row r="966" spans="1:14" x14ac:dyDescent="0.45">
      <c r="A966">
        <v>965</v>
      </c>
      <c r="B966">
        <v>363</v>
      </c>
      <c r="C966" t="s">
        <v>74</v>
      </c>
      <c r="D966" t="s">
        <v>651</v>
      </c>
      <c r="E966">
        <v>6060</v>
      </c>
      <c r="F966" t="s">
        <v>129</v>
      </c>
      <c r="G966" t="s">
        <v>117</v>
      </c>
      <c r="H966" t="s">
        <v>218</v>
      </c>
      <c r="I966">
        <v>1258.95</v>
      </c>
      <c r="J966">
        <v>0</v>
      </c>
      <c r="K966" t="s">
        <v>674</v>
      </c>
      <c r="L966" t="s">
        <v>232</v>
      </c>
      <c r="N966" t="s">
        <v>192</v>
      </c>
    </row>
    <row r="967" spans="1:14" x14ac:dyDescent="0.45">
      <c r="A967">
        <v>966</v>
      </c>
      <c r="B967">
        <v>363</v>
      </c>
      <c r="C967" t="s">
        <v>74</v>
      </c>
      <c r="D967" t="s">
        <v>651</v>
      </c>
      <c r="E967">
        <v>1000</v>
      </c>
      <c r="F967" t="s">
        <v>77</v>
      </c>
      <c r="G967" t="s">
        <v>78</v>
      </c>
      <c r="H967" t="s">
        <v>218</v>
      </c>
      <c r="I967">
        <v>0</v>
      </c>
      <c r="J967">
        <v>1258.95</v>
      </c>
      <c r="K967" t="s">
        <v>674</v>
      </c>
      <c r="L967" t="s">
        <v>232</v>
      </c>
      <c r="N967" t="s">
        <v>192</v>
      </c>
    </row>
    <row r="968" spans="1:14" x14ac:dyDescent="0.45">
      <c r="A968">
        <v>967</v>
      </c>
      <c r="B968">
        <v>364</v>
      </c>
      <c r="C968" t="s">
        <v>74</v>
      </c>
      <c r="D968" t="s">
        <v>653</v>
      </c>
      <c r="E968">
        <v>7000</v>
      </c>
      <c r="F968" t="s">
        <v>133</v>
      </c>
      <c r="G968" t="s">
        <v>117</v>
      </c>
      <c r="H968" t="s">
        <v>218</v>
      </c>
      <c r="I968">
        <v>605</v>
      </c>
      <c r="J968">
        <v>0</v>
      </c>
      <c r="K968" t="s">
        <v>675</v>
      </c>
      <c r="L968" t="s">
        <v>241</v>
      </c>
      <c r="N968" t="s">
        <v>192</v>
      </c>
    </row>
    <row r="969" spans="1:14" x14ac:dyDescent="0.45">
      <c r="A969">
        <v>968</v>
      </c>
      <c r="B969">
        <v>364</v>
      </c>
      <c r="C969" t="s">
        <v>74</v>
      </c>
      <c r="D969" t="s">
        <v>653</v>
      </c>
      <c r="E969">
        <v>1500</v>
      </c>
      <c r="F969" t="s">
        <v>86</v>
      </c>
      <c r="G969" t="s">
        <v>78</v>
      </c>
      <c r="H969" t="s">
        <v>218</v>
      </c>
      <c r="I969">
        <v>0</v>
      </c>
      <c r="J969">
        <v>605</v>
      </c>
      <c r="K969" t="s">
        <v>675</v>
      </c>
      <c r="L969" t="s">
        <v>241</v>
      </c>
      <c r="N969" t="s">
        <v>192</v>
      </c>
    </row>
    <row r="970" spans="1:14" x14ac:dyDescent="0.45">
      <c r="A970">
        <v>969</v>
      </c>
      <c r="B970">
        <v>365</v>
      </c>
      <c r="C970" t="s">
        <v>74</v>
      </c>
      <c r="D970" t="s">
        <v>655</v>
      </c>
      <c r="E970">
        <v>2000</v>
      </c>
      <c r="F970" t="s">
        <v>88</v>
      </c>
      <c r="G970" t="s">
        <v>89</v>
      </c>
      <c r="H970" t="s">
        <v>218</v>
      </c>
      <c r="I970">
        <v>1976.61</v>
      </c>
      <c r="J970">
        <v>0</v>
      </c>
      <c r="K970" t="s">
        <v>676</v>
      </c>
      <c r="L970" t="s">
        <v>232</v>
      </c>
      <c r="N970" t="s">
        <v>192</v>
      </c>
    </row>
    <row r="971" spans="1:14" x14ac:dyDescent="0.45">
      <c r="A971">
        <v>970</v>
      </c>
      <c r="B971">
        <v>365</v>
      </c>
      <c r="C971" t="s">
        <v>74</v>
      </c>
      <c r="D971" t="s">
        <v>655</v>
      </c>
      <c r="E971">
        <v>1000</v>
      </c>
      <c r="F971" t="s">
        <v>77</v>
      </c>
      <c r="G971" t="s">
        <v>78</v>
      </c>
      <c r="H971" t="s">
        <v>218</v>
      </c>
      <c r="I971">
        <v>0</v>
      </c>
      <c r="J971">
        <v>1976.61</v>
      </c>
      <c r="K971" t="s">
        <v>676</v>
      </c>
      <c r="L971" t="s">
        <v>232</v>
      </c>
      <c r="N971" t="s">
        <v>192</v>
      </c>
    </row>
    <row r="972" spans="1:14" x14ac:dyDescent="0.45">
      <c r="A972">
        <v>971</v>
      </c>
      <c r="B972">
        <v>366</v>
      </c>
      <c r="C972" t="s">
        <v>72</v>
      </c>
      <c r="D972" t="s">
        <v>677</v>
      </c>
      <c r="E972">
        <v>1300</v>
      </c>
      <c r="F972" t="s">
        <v>84</v>
      </c>
      <c r="G972" t="s">
        <v>78</v>
      </c>
      <c r="H972" t="s">
        <v>261</v>
      </c>
      <c r="I972">
        <v>3514.16</v>
      </c>
      <c r="J972">
        <v>0</v>
      </c>
      <c r="K972" t="s">
        <v>678</v>
      </c>
      <c r="L972" t="s">
        <v>263</v>
      </c>
      <c r="M972" t="s">
        <v>73</v>
      </c>
      <c r="N972" t="s">
        <v>192</v>
      </c>
    </row>
    <row r="973" spans="1:14" x14ac:dyDescent="0.45">
      <c r="A973">
        <v>972</v>
      </c>
      <c r="B973">
        <v>366</v>
      </c>
      <c r="C973" t="s">
        <v>72</v>
      </c>
      <c r="D973" t="s">
        <v>677</v>
      </c>
      <c r="E973">
        <v>4090</v>
      </c>
      <c r="F973" t="s">
        <v>107</v>
      </c>
      <c r="G973" t="s">
        <v>99</v>
      </c>
      <c r="H973" t="s">
        <v>261</v>
      </c>
      <c r="I973">
        <v>0</v>
      </c>
      <c r="J973">
        <v>3514.16</v>
      </c>
      <c r="K973" t="s">
        <v>678</v>
      </c>
      <c r="L973" t="s">
        <v>263</v>
      </c>
      <c r="M973" t="s">
        <v>73</v>
      </c>
      <c r="N973" t="s">
        <v>192</v>
      </c>
    </row>
    <row r="974" spans="1:14" x14ac:dyDescent="0.45">
      <c r="A974">
        <v>973</v>
      </c>
      <c r="B974">
        <v>367</v>
      </c>
      <c r="C974" t="s">
        <v>73</v>
      </c>
      <c r="D974" t="s">
        <v>677</v>
      </c>
      <c r="E974">
        <v>6070</v>
      </c>
      <c r="F974" t="s">
        <v>131</v>
      </c>
      <c r="G974" t="s">
        <v>117</v>
      </c>
      <c r="H974" t="s">
        <v>261</v>
      </c>
      <c r="I974">
        <v>3514.16</v>
      </c>
      <c r="J974">
        <v>0</v>
      </c>
      <c r="K974" t="s">
        <v>679</v>
      </c>
      <c r="L974" t="s">
        <v>263</v>
      </c>
      <c r="M974" t="s">
        <v>72</v>
      </c>
      <c r="N974" t="s">
        <v>192</v>
      </c>
    </row>
    <row r="975" spans="1:14" x14ac:dyDescent="0.45">
      <c r="A975">
        <v>974</v>
      </c>
      <c r="B975">
        <v>367</v>
      </c>
      <c r="C975" t="s">
        <v>73</v>
      </c>
      <c r="D975" t="s">
        <v>677</v>
      </c>
      <c r="E975">
        <v>2200</v>
      </c>
      <c r="F975" t="s">
        <v>93</v>
      </c>
      <c r="G975" t="s">
        <v>89</v>
      </c>
      <c r="H975" t="s">
        <v>261</v>
      </c>
      <c r="I975">
        <v>0</v>
      </c>
      <c r="J975">
        <v>3514.16</v>
      </c>
      <c r="K975" t="s">
        <v>679</v>
      </c>
      <c r="L975" t="s">
        <v>263</v>
      </c>
      <c r="M975" t="s">
        <v>72</v>
      </c>
      <c r="N975" t="s">
        <v>192</v>
      </c>
    </row>
    <row r="976" spans="1:14" x14ac:dyDescent="0.45">
      <c r="A976">
        <v>975</v>
      </c>
      <c r="B976">
        <v>368</v>
      </c>
      <c r="C976" t="s">
        <v>73</v>
      </c>
      <c r="D976" t="s">
        <v>680</v>
      </c>
      <c r="E976">
        <v>2200</v>
      </c>
      <c r="F976" t="s">
        <v>93</v>
      </c>
      <c r="G976" t="s">
        <v>89</v>
      </c>
      <c r="H976" t="s">
        <v>261</v>
      </c>
      <c r="I976">
        <v>3481.92</v>
      </c>
      <c r="J976">
        <v>0</v>
      </c>
      <c r="K976" t="s">
        <v>681</v>
      </c>
      <c r="L976" t="s">
        <v>309</v>
      </c>
      <c r="M976" t="s">
        <v>72</v>
      </c>
      <c r="N976" t="s">
        <v>192</v>
      </c>
    </row>
    <row r="977" spans="1:14" x14ac:dyDescent="0.45">
      <c r="A977">
        <v>976</v>
      </c>
      <c r="B977">
        <v>368</v>
      </c>
      <c r="C977" t="s">
        <v>73</v>
      </c>
      <c r="D977" t="s">
        <v>680</v>
      </c>
      <c r="E977">
        <v>1000</v>
      </c>
      <c r="F977" t="s">
        <v>77</v>
      </c>
      <c r="G977" t="s">
        <v>78</v>
      </c>
      <c r="H977" t="s">
        <v>218</v>
      </c>
      <c r="I977">
        <v>0</v>
      </c>
      <c r="J977">
        <v>3481.92</v>
      </c>
      <c r="K977" t="s">
        <v>681</v>
      </c>
      <c r="L977" t="s">
        <v>309</v>
      </c>
      <c r="M977" t="s">
        <v>72</v>
      </c>
      <c r="N977" t="s">
        <v>192</v>
      </c>
    </row>
    <row r="978" spans="1:14" x14ac:dyDescent="0.45">
      <c r="A978">
        <v>977</v>
      </c>
      <c r="B978">
        <v>369</v>
      </c>
      <c r="C978" t="s">
        <v>72</v>
      </c>
      <c r="D978" t="s">
        <v>680</v>
      </c>
      <c r="E978">
        <v>1000</v>
      </c>
      <c r="F978" t="s">
        <v>77</v>
      </c>
      <c r="G978" t="s">
        <v>78</v>
      </c>
      <c r="H978" t="s">
        <v>218</v>
      </c>
      <c r="I978">
        <v>3481.92</v>
      </c>
      <c r="J978">
        <v>0</v>
      </c>
      <c r="K978" t="s">
        <v>682</v>
      </c>
      <c r="L978" t="s">
        <v>309</v>
      </c>
      <c r="M978" t="s">
        <v>73</v>
      </c>
      <c r="N978" t="s">
        <v>192</v>
      </c>
    </row>
    <row r="979" spans="1:14" x14ac:dyDescent="0.45">
      <c r="A979">
        <v>978</v>
      </c>
      <c r="B979">
        <v>369</v>
      </c>
      <c r="C979" t="s">
        <v>72</v>
      </c>
      <c r="D979" t="s">
        <v>680</v>
      </c>
      <c r="E979">
        <v>1300</v>
      </c>
      <c r="F979" t="s">
        <v>84</v>
      </c>
      <c r="G979" t="s">
        <v>78</v>
      </c>
      <c r="H979" t="s">
        <v>261</v>
      </c>
      <c r="I979">
        <v>0</v>
      </c>
      <c r="J979">
        <v>3481.92</v>
      </c>
      <c r="K979" t="s">
        <v>682</v>
      </c>
      <c r="L979" t="s">
        <v>309</v>
      </c>
      <c r="M979" t="s">
        <v>73</v>
      </c>
      <c r="N979" t="s">
        <v>192</v>
      </c>
    </row>
    <row r="980" spans="1:14" x14ac:dyDescent="0.45">
      <c r="A980">
        <v>979</v>
      </c>
      <c r="B980">
        <v>370</v>
      </c>
      <c r="C980" t="s">
        <v>72</v>
      </c>
      <c r="D980" t="s">
        <v>677</v>
      </c>
      <c r="E980">
        <v>1300</v>
      </c>
      <c r="F980" t="s">
        <v>84</v>
      </c>
      <c r="G980" t="s">
        <v>78</v>
      </c>
      <c r="H980" t="s">
        <v>261</v>
      </c>
      <c r="I980">
        <v>3117.4</v>
      </c>
      <c r="J980">
        <v>0</v>
      </c>
      <c r="K980" t="s">
        <v>683</v>
      </c>
      <c r="L980" t="s">
        <v>263</v>
      </c>
      <c r="M980" t="s">
        <v>74</v>
      </c>
      <c r="N980" t="s">
        <v>192</v>
      </c>
    </row>
    <row r="981" spans="1:14" x14ac:dyDescent="0.45">
      <c r="A981">
        <v>980</v>
      </c>
      <c r="B981">
        <v>370</v>
      </c>
      <c r="C981" t="s">
        <v>72</v>
      </c>
      <c r="D981" t="s">
        <v>677</v>
      </c>
      <c r="E981">
        <v>4090</v>
      </c>
      <c r="F981" t="s">
        <v>107</v>
      </c>
      <c r="G981" t="s">
        <v>99</v>
      </c>
      <c r="H981" t="s">
        <v>261</v>
      </c>
      <c r="I981">
        <v>0</v>
      </c>
      <c r="J981">
        <v>3117.4</v>
      </c>
      <c r="K981" t="s">
        <v>683</v>
      </c>
      <c r="L981" t="s">
        <v>263</v>
      </c>
      <c r="M981" t="s">
        <v>74</v>
      </c>
      <c r="N981" t="s">
        <v>192</v>
      </c>
    </row>
    <row r="982" spans="1:14" x14ac:dyDescent="0.45">
      <c r="A982">
        <v>981</v>
      </c>
      <c r="B982">
        <v>371</v>
      </c>
      <c r="C982" t="s">
        <v>74</v>
      </c>
      <c r="D982" t="s">
        <v>677</v>
      </c>
      <c r="E982">
        <v>6070</v>
      </c>
      <c r="F982" t="s">
        <v>131</v>
      </c>
      <c r="G982" t="s">
        <v>117</v>
      </c>
      <c r="H982" t="s">
        <v>261</v>
      </c>
      <c r="I982">
        <v>3117.4</v>
      </c>
      <c r="J982">
        <v>0</v>
      </c>
      <c r="K982" t="s">
        <v>679</v>
      </c>
      <c r="L982" t="s">
        <v>263</v>
      </c>
      <c r="M982" t="s">
        <v>72</v>
      </c>
      <c r="N982" t="s">
        <v>192</v>
      </c>
    </row>
    <row r="983" spans="1:14" x14ac:dyDescent="0.45">
      <c r="A983">
        <v>982</v>
      </c>
      <c r="B983">
        <v>371</v>
      </c>
      <c r="C983" t="s">
        <v>74</v>
      </c>
      <c r="D983" t="s">
        <v>677</v>
      </c>
      <c r="E983">
        <v>2200</v>
      </c>
      <c r="F983" t="s">
        <v>93</v>
      </c>
      <c r="G983" t="s">
        <v>89</v>
      </c>
      <c r="H983" t="s">
        <v>261</v>
      </c>
      <c r="I983">
        <v>0</v>
      </c>
      <c r="J983">
        <v>3117.4</v>
      </c>
      <c r="K983" t="s">
        <v>679</v>
      </c>
      <c r="L983" t="s">
        <v>263</v>
      </c>
      <c r="M983" t="s">
        <v>72</v>
      </c>
      <c r="N983" t="s">
        <v>192</v>
      </c>
    </row>
    <row r="984" spans="1:14" x14ac:dyDescent="0.45">
      <c r="A984">
        <v>983</v>
      </c>
      <c r="B984">
        <v>372</v>
      </c>
      <c r="C984" t="s">
        <v>74</v>
      </c>
      <c r="D984" t="s">
        <v>680</v>
      </c>
      <c r="E984">
        <v>2200</v>
      </c>
      <c r="F984" t="s">
        <v>93</v>
      </c>
      <c r="G984" t="s">
        <v>89</v>
      </c>
      <c r="H984" t="s">
        <v>261</v>
      </c>
      <c r="I984">
        <v>3088.8</v>
      </c>
      <c r="J984">
        <v>0</v>
      </c>
      <c r="K984" t="s">
        <v>681</v>
      </c>
      <c r="L984" t="s">
        <v>309</v>
      </c>
      <c r="M984" t="s">
        <v>72</v>
      </c>
      <c r="N984" t="s">
        <v>192</v>
      </c>
    </row>
    <row r="985" spans="1:14" x14ac:dyDescent="0.45">
      <c r="A985">
        <v>984</v>
      </c>
      <c r="B985">
        <v>372</v>
      </c>
      <c r="C985" t="s">
        <v>74</v>
      </c>
      <c r="D985" t="s">
        <v>680</v>
      </c>
      <c r="E985">
        <v>1000</v>
      </c>
      <c r="F985" t="s">
        <v>77</v>
      </c>
      <c r="G985" t="s">
        <v>78</v>
      </c>
      <c r="H985" t="s">
        <v>218</v>
      </c>
      <c r="I985">
        <v>0</v>
      </c>
      <c r="J985">
        <v>3088.8</v>
      </c>
      <c r="K985" t="s">
        <v>681</v>
      </c>
      <c r="L985" t="s">
        <v>309</v>
      </c>
      <c r="M985" t="s">
        <v>72</v>
      </c>
      <c r="N985" t="s">
        <v>192</v>
      </c>
    </row>
    <row r="986" spans="1:14" x14ac:dyDescent="0.45">
      <c r="A986">
        <v>985</v>
      </c>
      <c r="B986">
        <v>373</v>
      </c>
      <c r="C986" t="s">
        <v>72</v>
      </c>
      <c r="D986" t="s">
        <v>680</v>
      </c>
      <c r="E986">
        <v>1000</v>
      </c>
      <c r="F986" t="s">
        <v>77</v>
      </c>
      <c r="G986" t="s">
        <v>78</v>
      </c>
      <c r="H986" t="s">
        <v>218</v>
      </c>
      <c r="I986">
        <v>3088.8</v>
      </c>
      <c r="J986">
        <v>0</v>
      </c>
      <c r="K986" t="s">
        <v>684</v>
      </c>
      <c r="L986" t="s">
        <v>309</v>
      </c>
      <c r="M986" t="s">
        <v>74</v>
      </c>
      <c r="N986" t="s">
        <v>192</v>
      </c>
    </row>
    <row r="987" spans="1:14" x14ac:dyDescent="0.45">
      <c r="A987">
        <v>986</v>
      </c>
      <c r="B987">
        <v>373</v>
      </c>
      <c r="C987" t="s">
        <v>72</v>
      </c>
      <c r="D987" t="s">
        <v>680</v>
      </c>
      <c r="E987">
        <v>1300</v>
      </c>
      <c r="F987" t="s">
        <v>84</v>
      </c>
      <c r="G987" t="s">
        <v>78</v>
      </c>
      <c r="H987" t="s">
        <v>261</v>
      </c>
      <c r="I987">
        <v>0</v>
      </c>
      <c r="J987">
        <v>3088.8</v>
      </c>
      <c r="K987" t="s">
        <v>684</v>
      </c>
      <c r="L987" t="s">
        <v>309</v>
      </c>
      <c r="M987" t="s">
        <v>74</v>
      </c>
      <c r="N987" t="s">
        <v>192</v>
      </c>
    </row>
    <row r="988" spans="1:14" x14ac:dyDescent="0.45">
      <c r="A988">
        <v>987</v>
      </c>
      <c r="B988">
        <v>374</v>
      </c>
      <c r="C988" t="s">
        <v>72</v>
      </c>
      <c r="D988" t="s">
        <v>685</v>
      </c>
      <c r="E988">
        <v>1100</v>
      </c>
      <c r="F988" t="s">
        <v>80</v>
      </c>
      <c r="G988" t="s">
        <v>78</v>
      </c>
      <c r="H988" t="s">
        <v>218</v>
      </c>
      <c r="I988">
        <v>109251.24</v>
      </c>
      <c r="J988">
        <v>0</v>
      </c>
      <c r="K988" t="s">
        <v>686</v>
      </c>
      <c r="L988" t="s">
        <v>220</v>
      </c>
      <c r="N988" t="s">
        <v>193</v>
      </c>
    </row>
    <row r="989" spans="1:14" x14ac:dyDescent="0.45">
      <c r="A989">
        <v>988</v>
      </c>
      <c r="B989">
        <v>374</v>
      </c>
      <c r="C989" t="s">
        <v>72</v>
      </c>
      <c r="D989" t="s">
        <v>685</v>
      </c>
      <c r="E989">
        <v>4010</v>
      </c>
      <c r="F989" t="s">
        <v>101</v>
      </c>
      <c r="G989" t="s">
        <v>99</v>
      </c>
      <c r="H989" t="s">
        <v>218</v>
      </c>
      <c r="I989">
        <v>0</v>
      </c>
      <c r="J989">
        <v>45885.52</v>
      </c>
      <c r="K989" t="s">
        <v>686</v>
      </c>
      <c r="L989" t="s">
        <v>220</v>
      </c>
      <c r="N989" t="s">
        <v>193</v>
      </c>
    </row>
    <row r="990" spans="1:14" x14ac:dyDescent="0.45">
      <c r="A990">
        <v>989</v>
      </c>
      <c r="B990">
        <v>374</v>
      </c>
      <c r="C990" t="s">
        <v>72</v>
      </c>
      <c r="D990" t="s">
        <v>685</v>
      </c>
      <c r="E990">
        <v>4020</v>
      </c>
      <c r="F990" t="s">
        <v>103</v>
      </c>
      <c r="G990" t="s">
        <v>99</v>
      </c>
      <c r="H990" t="s">
        <v>218</v>
      </c>
      <c r="I990">
        <v>0</v>
      </c>
      <c r="J990">
        <v>36052.910000000003</v>
      </c>
      <c r="K990" t="s">
        <v>686</v>
      </c>
      <c r="L990" t="s">
        <v>220</v>
      </c>
      <c r="N990" t="s">
        <v>193</v>
      </c>
    </row>
    <row r="991" spans="1:14" x14ac:dyDescent="0.45">
      <c r="A991">
        <v>990</v>
      </c>
      <c r="B991">
        <v>374</v>
      </c>
      <c r="C991" t="s">
        <v>72</v>
      </c>
      <c r="D991" t="s">
        <v>685</v>
      </c>
      <c r="E991">
        <v>4030</v>
      </c>
      <c r="F991" t="s">
        <v>105</v>
      </c>
      <c r="G991" t="s">
        <v>99</v>
      </c>
      <c r="H991" t="s">
        <v>218</v>
      </c>
      <c r="I991">
        <v>0</v>
      </c>
      <c r="J991">
        <v>27312.81</v>
      </c>
      <c r="K991" t="s">
        <v>686</v>
      </c>
      <c r="L991" t="s">
        <v>220</v>
      </c>
      <c r="N991" t="s">
        <v>193</v>
      </c>
    </row>
    <row r="992" spans="1:14" x14ac:dyDescent="0.45">
      <c r="A992">
        <v>991</v>
      </c>
      <c r="B992">
        <v>375</v>
      </c>
      <c r="C992" t="s">
        <v>72</v>
      </c>
      <c r="D992" t="s">
        <v>687</v>
      </c>
      <c r="E992">
        <v>1000</v>
      </c>
      <c r="F992" t="s">
        <v>77</v>
      </c>
      <c r="G992" t="s">
        <v>78</v>
      </c>
      <c r="H992" t="s">
        <v>218</v>
      </c>
      <c r="I992">
        <v>99507.74</v>
      </c>
      <c r="J992">
        <v>0</v>
      </c>
      <c r="K992" t="s">
        <v>688</v>
      </c>
      <c r="L992" t="s">
        <v>223</v>
      </c>
      <c r="N992" t="s">
        <v>193</v>
      </c>
    </row>
    <row r="993" spans="1:14" x14ac:dyDescent="0.45">
      <c r="A993">
        <v>992</v>
      </c>
      <c r="B993">
        <v>375</v>
      </c>
      <c r="C993" t="s">
        <v>72</v>
      </c>
      <c r="D993" t="s">
        <v>687</v>
      </c>
      <c r="E993">
        <v>1100</v>
      </c>
      <c r="F993" t="s">
        <v>80</v>
      </c>
      <c r="G993" t="s">
        <v>78</v>
      </c>
      <c r="H993" t="s">
        <v>218</v>
      </c>
      <c r="I993">
        <v>0</v>
      </c>
      <c r="J993">
        <v>99507.74</v>
      </c>
      <c r="K993" t="s">
        <v>688</v>
      </c>
      <c r="L993" t="s">
        <v>223</v>
      </c>
      <c r="N993" t="s">
        <v>193</v>
      </c>
    </row>
    <row r="994" spans="1:14" x14ac:dyDescent="0.45">
      <c r="A994">
        <v>993</v>
      </c>
      <c r="B994">
        <v>376</v>
      </c>
      <c r="C994" t="s">
        <v>72</v>
      </c>
      <c r="D994" t="s">
        <v>689</v>
      </c>
      <c r="E994">
        <v>5010</v>
      </c>
      <c r="F994" t="s">
        <v>112</v>
      </c>
      <c r="G994" t="s">
        <v>110</v>
      </c>
      <c r="H994" t="s">
        <v>218</v>
      </c>
      <c r="I994">
        <v>6204.76</v>
      </c>
      <c r="J994">
        <v>0</v>
      </c>
      <c r="K994" t="s">
        <v>690</v>
      </c>
      <c r="L994" t="s">
        <v>226</v>
      </c>
      <c r="N994" t="s">
        <v>193</v>
      </c>
    </row>
    <row r="995" spans="1:14" x14ac:dyDescent="0.45">
      <c r="A995">
        <v>994</v>
      </c>
      <c r="B995">
        <v>376</v>
      </c>
      <c r="C995" t="s">
        <v>72</v>
      </c>
      <c r="D995" t="s">
        <v>689</v>
      </c>
      <c r="E995">
        <v>5020</v>
      </c>
      <c r="F995" t="s">
        <v>114</v>
      </c>
      <c r="G995" t="s">
        <v>110</v>
      </c>
      <c r="H995" t="s">
        <v>218</v>
      </c>
      <c r="I995">
        <v>5076.62</v>
      </c>
      <c r="J995">
        <v>0</v>
      </c>
      <c r="K995" t="s">
        <v>690</v>
      </c>
      <c r="L995" t="s">
        <v>226</v>
      </c>
      <c r="N995" t="s">
        <v>193</v>
      </c>
    </row>
    <row r="996" spans="1:14" x14ac:dyDescent="0.45">
      <c r="A996">
        <v>995</v>
      </c>
      <c r="B996">
        <v>376</v>
      </c>
      <c r="C996" t="s">
        <v>72</v>
      </c>
      <c r="D996" t="s">
        <v>689</v>
      </c>
      <c r="E996">
        <v>1000</v>
      </c>
      <c r="F996" t="s">
        <v>77</v>
      </c>
      <c r="G996" t="s">
        <v>78</v>
      </c>
      <c r="H996" t="s">
        <v>218</v>
      </c>
      <c r="I996">
        <v>0</v>
      </c>
      <c r="J996">
        <v>7896.97</v>
      </c>
      <c r="K996" t="s">
        <v>690</v>
      </c>
      <c r="L996" t="s">
        <v>226</v>
      </c>
      <c r="N996" t="s">
        <v>193</v>
      </c>
    </row>
    <row r="997" spans="1:14" x14ac:dyDescent="0.45">
      <c r="A997">
        <v>996</v>
      </c>
      <c r="B997">
        <v>376</v>
      </c>
      <c r="C997" t="s">
        <v>72</v>
      </c>
      <c r="D997" t="s">
        <v>689</v>
      </c>
      <c r="E997">
        <v>2000</v>
      </c>
      <c r="F997" t="s">
        <v>88</v>
      </c>
      <c r="G997" t="s">
        <v>89</v>
      </c>
      <c r="H997" t="s">
        <v>218</v>
      </c>
      <c r="I997">
        <v>0</v>
      </c>
      <c r="J997">
        <v>3384.41</v>
      </c>
      <c r="K997" t="s">
        <v>690</v>
      </c>
      <c r="L997" t="s">
        <v>226</v>
      </c>
      <c r="N997" t="s">
        <v>193</v>
      </c>
    </row>
    <row r="998" spans="1:14" x14ac:dyDescent="0.45">
      <c r="A998">
        <v>997</v>
      </c>
      <c r="B998">
        <v>377</v>
      </c>
      <c r="C998" t="s">
        <v>72</v>
      </c>
      <c r="D998" t="s">
        <v>691</v>
      </c>
      <c r="E998">
        <v>6010</v>
      </c>
      <c r="F998" t="s">
        <v>119</v>
      </c>
      <c r="G998" t="s">
        <v>117</v>
      </c>
      <c r="H998" t="s">
        <v>218</v>
      </c>
      <c r="I998">
        <v>45920</v>
      </c>
      <c r="J998">
        <v>0</v>
      </c>
      <c r="K998" t="s">
        <v>692</v>
      </c>
      <c r="L998" t="s">
        <v>229</v>
      </c>
      <c r="N998" t="s">
        <v>193</v>
      </c>
    </row>
    <row r="999" spans="1:14" x14ac:dyDescent="0.45">
      <c r="A999">
        <v>998</v>
      </c>
      <c r="B999">
        <v>377</v>
      </c>
      <c r="C999" t="s">
        <v>72</v>
      </c>
      <c r="D999" t="s">
        <v>691</v>
      </c>
      <c r="E999">
        <v>6020</v>
      </c>
      <c r="F999" t="s">
        <v>121</v>
      </c>
      <c r="G999" t="s">
        <v>117</v>
      </c>
      <c r="H999" t="s">
        <v>218</v>
      </c>
      <c r="I999">
        <v>6428.8</v>
      </c>
      <c r="J999">
        <v>0</v>
      </c>
      <c r="K999" t="s">
        <v>692</v>
      </c>
      <c r="L999" t="s">
        <v>229</v>
      </c>
      <c r="N999" t="s">
        <v>193</v>
      </c>
    </row>
    <row r="1000" spans="1:14" x14ac:dyDescent="0.45">
      <c r="A1000">
        <v>999</v>
      </c>
      <c r="B1000">
        <v>377</v>
      </c>
      <c r="C1000" t="s">
        <v>72</v>
      </c>
      <c r="D1000" t="s">
        <v>691</v>
      </c>
      <c r="E1000">
        <v>1000</v>
      </c>
      <c r="F1000" t="s">
        <v>77</v>
      </c>
      <c r="G1000" t="s">
        <v>78</v>
      </c>
      <c r="H1000" t="s">
        <v>218</v>
      </c>
      <c r="I1000">
        <v>0</v>
      </c>
      <c r="J1000">
        <v>52292.71</v>
      </c>
      <c r="K1000" t="s">
        <v>692</v>
      </c>
      <c r="L1000" t="s">
        <v>229</v>
      </c>
      <c r="N1000" t="s">
        <v>193</v>
      </c>
    </row>
    <row r="1001" spans="1:14" x14ac:dyDescent="0.45">
      <c r="A1001">
        <v>1000</v>
      </c>
      <c r="B1001">
        <v>377</v>
      </c>
      <c r="C1001" t="s">
        <v>72</v>
      </c>
      <c r="D1001" t="s">
        <v>691</v>
      </c>
      <c r="E1001">
        <v>2100</v>
      </c>
      <c r="F1001" t="s">
        <v>91</v>
      </c>
      <c r="G1001" t="s">
        <v>89</v>
      </c>
      <c r="H1001" t="s">
        <v>218</v>
      </c>
      <c r="I1001">
        <v>0</v>
      </c>
      <c r="J1001">
        <v>5234.88</v>
      </c>
      <c r="K1001" t="s">
        <v>692</v>
      </c>
      <c r="L1001" t="s">
        <v>229</v>
      </c>
      <c r="N1001" t="s">
        <v>193</v>
      </c>
    </row>
    <row r="1002" spans="1:14" x14ac:dyDescent="0.45">
      <c r="A1002">
        <v>1001</v>
      </c>
      <c r="B1002">
        <v>377</v>
      </c>
      <c r="C1002" t="s">
        <v>72</v>
      </c>
      <c r="D1002" t="s">
        <v>691</v>
      </c>
      <c r="E1002">
        <v>2100</v>
      </c>
      <c r="F1002" t="s">
        <v>91</v>
      </c>
      <c r="G1002" t="s">
        <v>89</v>
      </c>
      <c r="H1002" t="s">
        <v>218</v>
      </c>
      <c r="I1002">
        <v>5178.79</v>
      </c>
      <c r="J1002">
        <v>0</v>
      </c>
      <c r="K1002" t="s">
        <v>692</v>
      </c>
      <c r="L1002" t="s">
        <v>229</v>
      </c>
      <c r="N1002" t="s">
        <v>193</v>
      </c>
    </row>
    <row r="1003" spans="1:14" x14ac:dyDescent="0.45">
      <c r="A1003">
        <v>1002</v>
      </c>
      <c r="B1003">
        <v>378</v>
      </c>
      <c r="C1003" t="s">
        <v>72</v>
      </c>
      <c r="D1003" t="s">
        <v>693</v>
      </c>
      <c r="E1003">
        <v>6030</v>
      </c>
      <c r="F1003" t="s">
        <v>123</v>
      </c>
      <c r="G1003" t="s">
        <v>117</v>
      </c>
      <c r="H1003" t="s">
        <v>218</v>
      </c>
      <c r="I1003">
        <v>7140</v>
      </c>
      <c r="J1003">
        <v>0</v>
      </c>
      <c r="K1003" t="s">
        <v>694</v>
      </c>
      <c r="L1003" t="s">
        <v>232</v>
      </c>
      <c r="N1003" t="s">
        <v>193</v>
      </c>
    </row>
    <row r="1004" spans="1:14" x14ac:dyDescent="0.45">
      <c r="A1004">
        <v>1003</v>
      </c>
      <c r="B1004">
        <v>378</v>
      </c>
      <c r="C1004" t="s">
        <v>72</v>
      </c>
      <c r="D1004" t="s">
        <v>693</v>
      </c>
      <c r="E1004">
        <v>1000</v>
      </c>
      <c r="F1004" t="s">
        <v>77</v>
      </c>
      <c r="G1004" t="s">
        <v>78</v>
      </c>
      <c r="H1004" t="s">
        <v>218</v>
      </c>
      <c r="I1004">
        <v>0</v>
      </c>
      <c r="J1004">
        <v>7140</v>
      </c>
      <c r="K1004" t="s">
        <v>694</v>
      </c>
      <c r="L1004" t="s">
        <v>232</v>
      </c>
      <c r="N1004" t="s">
        <v>193</v>
      </c>
    </row>
    <row r="1005" spans="1:14" x14ac:dyDescent="0.45">
      <c r="A1005">
        <v>1004</v>
      </c>
      <c r="B1005">
        <v>379</v>
      </c>
      <c r="C1005" t="s">
        <v>72</v>
      </c>
      <c r="D1005" t="s">
        <v>695</v>
      </c>
      <c r="E1005">
        <v>6040</v>
      </c>
      <c r="F1005" t="s">
        <v>125</v>
      </c>
      <c r="G1005" t="s">
        <v>117</v>
      </c>
      <c r="H1005" t="s">
        <v>218</v>
      </c>
      <c r="I1005">
        <v>3392.9</v>
      </c>
      <c r="J1005">
        <v>0</v>
      </c>
      <c r="K1005" t="s">
        <v>696</v>
      </c>
      <c r="L1005" t="s">
        <v>226</v>
      </c>
      <c r="N1005" t="s">
        <v>193</v>
      </c>
    </row>
    <row r="1006" spans="1:14" x14ac:dyDescent="0.45">
      <c r="A1006">
        <v>1005</v>
      </c>
      <c r="B1006">
        <v>379</v>
      </c>
      <c r="C1006" t="s">
        <v>72</v>
      </c>
      <c r="D1006" t="s">
        <v>695</v>
      </c>
      <c r="E1006">
        <v>1000</v>
      </c>
      <c r="F1006" t="s">
        <v>77</v>
      </c>
      <c r="G1006" t="s">
        <v>78</v>
      </c>
      <c r="H1006" t="s">
        <v>218</v>
      </c>
      <c r="I1006">
        <v>0</v>
      </c>
      <c r="J1006">
        <v>2714.32</v>
      </c>
      <c r="K1006" t="s">
        <v>696</v>
      </c>
      <c r="L1006" t="s">
        <v>226</v>
      </c>
      <c r="N1006" t="s">
        <v>193</v>
      </c>
    </row>
    <row r="1007" spans="1:14" x14ac:dyDescent="0.45">
      <c r="A1007">
        <v>1006</v>
      </c>
      <c r="B1007">
        <v>379</v>
      </c>
      <c r="C1007" t="s">
        <v>72</v>
      </c>
      <c r="D1007" t="s">
        <v>695</v>
      </c>
      <c r="E1007">
        <v>2000</v>
      </c>
      <c r="F1007" t="s">
        <v>88</v>
      </c>
      <c r="G1007" t="s">
        <v>89</v>
      </c>
      <c r="H1007" t="s">
        <v>218</v>
      </c>
      <c r="I1007">
        <v>0</v>
      </c>
      <c r="J1007">
        <v>678.58</v>
      </c>
      <c r="K1007" t="s">
        <v>696</v>
      </c>
      <c r="L1007" t="s">
        <v>226</v>
      </c>
      <c r="N1007" t="s">
        <v>193</v>
      </c>
    </row>
    <row r="1008" spans="1:14" x14ac:dyDescent="0.45">
      <c r="A1008">
        <v>1007</v>
      </c>
      <c r="B1008">
        <v>380</v>
      </c>
      <c r="C1008" t="s">
        <v>72</v>
      </c>
      <c r="D1008" t="s">
        <v>693</v>
      </c>
      <c r="E1008">
        <v>6050</v>
      </c>
      <c r="F1008" t="s">
        <v>127</v>
      </c>
      <c r="G1008" t="s">
        <v>117</v>
      </c>
      <c r="H1008" t="s">
        <v>218</v>
      </c>
      <c r="I1008">
        <v>1450</v>
      </c>
      <c r="J1008">
        <v>0</v>
      </c>
      <c r="K1008" t="s">
        <v>697</v>
      </c>
      <c r="L1008" t="s">
        <v>236</v>
      </c>
      <c r="N1008" t="s">
        <v>193</v>
      </c>
    </row>
    <row r="1009" spans="1:14" x14ac:dyDescent="0.45">
      <c r="A1009">
        <v>1008</v>
      </c>
      <c r="B1009">
        <v>380</v>
      </c>
      <c r="C1009" t="s">
        <v>72</v>
      </c>
      <c r="D1009" t="s">
        <v>693</v>
      </c>
      <c r="E1009">
        <v>1200</v>
      </c>
      <c r="F1009" t="s">
        <v>82</v>
      </c>
      <c r="G1009" t="s">
        <v>78</v>
      </c>
      <c r="H1009" t="s">
        <v>218</v>
      </c>
      <c r="I1009">
        <v>0</v>
      </c>
      <c r="J1009">
        <v>1450</v>
      </c>
      <c r="K1009" t="s">
        <v>697</v>
      </c>
      <c r="L1009" t="s">
        <v>236</v>
      </c>
      <c r="N1009" t="s">
        <v>193</v>
      </c>
    </row>
    <row r="1010" spans="1:14" x14ac:dyDescent="0.45">
      <c r="A1010">
        <v>1009</v>
      </c>
      <c r="B1010">
        <v>381</v>
      </c>
      <c r="C1010" t="s">
        <v>72</v>
      </c>
      <c r="D1010" t="s">
        <v>698</v>
      </c>
      <c r="E1010">
        <v>6060</v>
      </c>
      <c r="F1010" t="s">
        <v>129</v>
      </c>
      <c r="G1010" t="s">
        <v>117</v>
      </c>
      <c r="H1010" t="s">
        <v>218</v>
      </c>
      <c r="I1010">
        <v>2310</v>
      </c>
      <c r="J1010">
        <v>0</v>
      </c>
      <c r="K1010" t="s">
        <v>699</v>
      </c>
      <c r="L1010" t="s">
        <v>232</v>
      </c>
      <c r="N1010" t="s">
        <v>193</v>
      </c>
    </row>
    <row r="1011" spans="1:14" x14ac:dyDescent="0.45">
      <c r="A1011">
        <v>1010</v>
      </c>
      <c r="B1011">
        <v>381</v>
      </c>
      <c r="C1011" t="s">
        <v>72</v>
      </c>
      <c r="D1011" t="s">
        <v>698</v>
      </c>
      <c r="E1011">
        <v>1000</v>
      </c>
      <c r="F1011" t="s">
        <v>77</v>
      </c>
      <c r="G1011" t="s">
        <v>78</v>
      </c>
      <c r="H1011" t="s">
        <v>218</v>
      </c>
      <c r="I1011">
        <v>0</v>
      </c>
      <c r="J1011">
        <v>2310</v>
      </c>
      <c r="K1011" t="s">
        <v>699</v>
      </c>
      <c r="L1011" t="s">
        <v>232</v>
      </c>
      <c r="N1011" t="s">
        <v>193</v>
      </c>
    </row>
    <row r="1012" spans="1:14" x14ac:dyDescent="0.45">
      <c r="A1012">
        <v>1011</v>
      </c>
      <c r="B1012">
        <v>382</v>
      </c>
      <c r="C1012" t="s">
        <v>72</v>
      </c>
      <c r="D1012" t="s">
        <v>700</v>
      </c>
      <c r="E1012">
        <v>7000</v>
      </c>
      <c r="F1012" t="s">
        <v>133</v>
      </c>
      <c r="G1012" t="s">
        <v>117</v>
      </c>
      <c r="H1012" t="s">
        <v>218</v>
      </c>
      <c r="I1012">
        <v>1100</v>
      </c>
      <c r="J1012">
        <v>0</v>
      </c>
      <c r="K1012" t="s">
        <v>701</v>
      </c>
      <c r="L1012" t="s">
        <v>241</v>
      </c>
      <c r="N1012" t="s">
        <v>193</v>
      </c>
    </row>
    <row r="1013" spans="1:14" x14ac:dyDescent="0.45">
      <c r="A1013">
        <v>1012</v>
      </c>
      <c r="B1013">
        <v>382</v>
      </c>
      <c r="C1013" t="s">
        <v>72</v>
      </c>
      <c r="D1013" t="s">
        <v>700</v>
      </c>
      <c r="E1013">
        <v>1500</v>
      </c>
      <c r="F1013" t="s">
        <v>86</v>
      </c>
      <c r="G1013" t="s">
        <v>78</v>
      </c>
      <c r="H1013" t="s">
        <v>218</v>
      </c>
      <c r="I1013">
        <v>0</v>
      </c>
      <c r="J1013">
        <v>1100</v>
      </c>
      <c r="K1013" t="s">
        <v>701</v>
      </c>
      <c r="L1013" t="s">
        <v>241</v>
      </c>
      <c r="N1013" t="s">
        <v>193</v>
      </c>
    </row>
    <row r="1014" spans="1:14" x14ac:dyDescent="0.45">
      <c r="A1014">
        <v>1013</v>
      </c>
      <c r="B1014">
        <v>383</v>
      </c>
      <c r="C1014" t="s">
        <v>72</v>
      </c>
      <c r="D1014" t="s">
        <v>702</v>
      </c>
      <c r="E1014">
        <v>2000</v>
      </c>
      <c r="F1014" t="s">
        <v>88</v>
      </c>
      <c r="G1014" t="s">
        <v>89</v>
      </c>
      <c r="H1014" t="s">
        <v>218</v>
      </c>
      <c r="I1014">
        <v>3438.73</v>
      </c>
      <c r="J1014">
        <v>0</v>
      </c>
      <c r="K1014" t="s">
        <v>703</v>
      </c>
      <c r="L1014" t="s">
        <v>232</v>
      </c>
      <c r="N1014" t="s">
        <v>193</v>
      </c>
    </row>
    <row r="1015" spans="1:14" x14ac:dyDescent="0.45">
      <c r="A1015">
        <v>1014</v>
      </c>
      <c r="B1015">
        <v>383</v>
      </c>
      <c r="C1015" t="s">
        <v>72</v>
      </c>
      <c r="D1015" t="s">
        <v>702</v>
      </c>
      <c r="E1015">
        <v>1000</v>
      </c>
      <c r="F1015" t="s">
        <v>77</v>
      </c>
      <c r="G1015" t="s">
        <v>78</v>
      </c>
      <c r="H1015" t="s">
        <v>218</v>
      </c>
      <c r="I1015">
        <v>0</v>
      </c>
      <c r="J1015">
        <v>3438.73</v>
      </c>
      <c r="K1015" t="s">
        <v>703</v>
      </c>
      <c r="L1015" t="s">
        <v>232</v>
      </c>
      <c r="N1015" t="s">
        <v>193</v>
      </c>
    </row>
    <row r="1016" spans="1:14" x14ac:dyDescent="0.45">
      <c r="A1016">
        <v>1015</v>
      </c>
      <c r="B1016">
        <v>384</v>
      </c>
      <c r="C1016" t="s">
        <v>73</v>
      </c>
      <c r="D1016" t="s">
        <v>685</v>
      </c>
      <c r="E1016">
        <v>1100</v>
      </c>
      <c r="F1016" t="s">
        <v>80</v>
      </c>
      <c r="G1016" t="s">
        <v>78</v>
      </c>
      <c r="H1016" t="s">
        <v>218</v>
      </c>
      <c r="I1016">
        <v>67924.17</v>
      </c>
      <c r="J1016">
        <v>0</v>
      </c>
      <c r="K1016" t="s">
        <v>704</v>
      </c>
      <c r="L1016" t="s">
        <v>220</v>
      </c>
      <c r="N1016" t="s">
        <v>193</v>
      </c>
    </row>
    <row r="1017" spans="1:14" x14ac:dyDescent="0.45">
      <c r="A1017">
        <v>1016</v>
      </c>
      <c r="B1017">
        <v>384</v>
      </c>
      <c r="C1017" t="s">
        <v>73</v>
      </c>
      <c r="D1017" t="s">
        <v>685</v>
      </c>
      <c r="E1017">
        <v>4010</v>
      </c>
      <c r="F1017" t="s">
        <v>101</v>
      </c>
      <c r="G1017" t="s">
        <v>99</v>
      </c>
      <c r="H1017" t="s">
        <v>218</v>
      </c>
      <c r="I1017">
        <v>0</v>
      </c>
      <c r="J1017">
        <v>28528.15</v>
      </c>
      <c r="K1017" t="s">
        <v>704</v>
      </c>
      <c r="L1017" t="s">
        <v>220</v>
      </c>
      <c r="N1017" t="s">
        <v>193</v>
      </c>
    </row>
    <row r="1018" spans="1:14" x14ac:dyDescent="0.45">
      <c r="A1018">
        <v>1017</v>
      </c>
      <c r="B1018">
        <v>384</v>
      </c>
      <c r="C1018" t="s">
        <v>73</v>
      </c>
      <c r="D1018" t="s">
        <v>685</v>
      </c>
      <c r="E1018">
        <v>4020</v>
      </c>
      <c r="F1018" t="s">
        <v>103</v>
      </c>
      <c r="G1018" t="s">
        <v>99</v>
      </c>
      <c r="H1018" t="s">
        <v>218</v>
      </c>
      <c r="I1018">
        <v>0</v>
      </c>
      <c r="J1018">
        <v>22414.98</v>
      </c>
      <c r="K1018" t="s">
        <v>704</v>
      </c>
      <c r="L1018" t="s">
        <v>220</v>
      </c>
      <c r="N1018" t="s">
        <v>193</v>
      </c>
    </row>
    <row r="1019" spans="1:14" x14ac:dyDescent="0.45">
      <c r="A1019">
        <v>1018</v>
      </c>
      <c r="B1019">
        <v>384</v>
      </c>
      <c r="C1019" t="s">
        <v>73</v>
      </c>
      <c r="D1019" t="s">
        <v>685</v>
      </c>
      <c r="E1019">
        <v>4030</v>
      </c>
      <c r="F1019" t="s">
        <v>105</v>
      </c>
      <c r="G1019" t="s">
        <v>99</v>
      </c>
      <c r="H1019" t="s">
        <v>218</v>
      </c>
      <c r="I1019">
        <v>0</v>
      </c>
      <c r="J1019">
        <v>16981.04</v>
      </c>
      <c r="K1019" t="s">
        <v>704</v>
      </c>
      <c r="L1019" t="s">
        <v>220</v>
      </c>
      <c r="N1019" t="s">
        <v>193</v>
      </c>
    </row>
    <row r="1020" spans="1:14" x14ac:dyDescent="0.45">
      <c r="A1020">
        <v>1019</v>
      </c>
      <c r="B1020">
        <v>385</v>
      </c>
      <c r="C1020" t="s">
        <v>73</v>
      </c>
      <c r="D1020" t="s">
        <v>687</v>
      </c>
      <c r="E1020">
        <v>1000</v>
      </c>
      <c r="F1020" t="s">
        <v>77</v>
      </c>
      <c r="G1020" t="s">
        <v>78</v>
      </c>
      <c r="H1020" t="s">
        <v>218</v>
      </c>
      <c r="I1020">
        <v>63382.69</v>
      </c>
      <c r="J1020">
        <v>0</v>
      </c>
      <c r="K1020" t="s">
        <v>705</v>
      </c>
      <c r="L1020" t="s">
        <v>223</v>
      </c>
      <c r="N1020" t="s">
        <v>193</v>
      </c>
    </row>
    <row r="1021" spans="1:14" x14ac:dyDescent="0.45">
      <c r="A1021">
        <v>1020</v>
      </c>
      <c r="B1021">
        <v>385</v>
      </c>
      <c r="C1021" t="s">
        <v>73</v>
      </c>
      <c r="D1021" t="s">
        <v>687</v>
      </c>
      <c r="E1021">
        <v>1100</v>
      </c>
      <c r="F1021" t="s">
        <v>80</v>
      </c>
      <c r="G1021" t="s">
        <v>78</v>
      </c>
      <c r="H1021" t="s">
        <v>218</v>
      </c>
      <c r="I1021">
        <v>0</v>
      </c>
      <c r="J1021">
        <v>63382.69</v>
      </c>
      <c r="K1021" t="s">
        <v>705</v>
      </c>
      <c r="L1021" t="s">
        <v>223</v>
      </c>
      <c r="N1021" t="s">
        <v>193</v>
      </c>
    </row>
    <row r="1022" spans="1:14" x14ac:dyDescent="0.45">
      <c r="A1022">
        <v>1021</v>
      </c>
      <c r="B1022">
        <v>386</v>
      </c>
      <c r="C1022" t="s">
        <v>73</v>
      </c>
      <c r="D1022" t="s">
        <v>689</v>
      </c>
      <c r="E1022">
        <v>5010</v>
      </c>
      <c r="F1022" t="s">
        <v>112</v>
      </c>
      <c r="G1022" t="s">
        <v>110</v>
      </c>
      <c r="H1022" t="s">
        <v>218</v>
      </c>
      <c r="I1022">
        <v>3857.65</v>
      </c>
      <c r="J1022">
        <v>0</v>
      </c>
      <c r="K1022" t="s">
        <v>706</v>
      </c>
      <c r="L1022" t="s">
        <v>226</v>
      </c>
      <c r="N1022" t="s">
        <v>193</v>
      </c>
    </row>
    <row r="1023" spans="1:14" x14ac:dyDescent="0.45">
      <c r="A1023">
        <v>1022</v>
      </c>
      <c r="B1023">
        <v>386</v>
      </c>
      <c r="C1023" t="s">
        <v>73</v>
      </c>
      <c r="D1023" t="s">
        <v>689</v>
      </c>
      <c r="E1023">
        <v>5020</v>
      </c>
      <c r="F1023" t="s">
        <v>114</v>
      </c>
      <c r="G1023" t="s">
        <v>110</v>
      </c>
      <c r="H1023" t="s">
        <v>218</v>
      </c>
      <c r="I1023">
        <v>3156.26</v>
      </c>
      <c r="J1023">
        <v>0</v>
      </c>
      <c r="K1023" t="s">
        <v>706</v>
      </c>
      <c r="L1023" t="s">
        <v>226</v>
      </c>
      <c r="N1023" t="s">
        <v>193</v>
      </c>
    </row>
    <row r="1024" spans="1:14" x14ac:dyDescent="0.45">
      <c r="A1024">
        <v>1023</v>
      </c>
      <c r="B1024">
        <v>386</v>
      </c>
      <c r="C1024" t="s">
        <v>73</v>
      </c>
      <c r="D1024" t="s">
        <v>689</v>
      </c>
      <c r="E1024">
        <v>1000</v>
      </c>
      <c r="F1024" t="s">
        <v>77</v>
      </c>
      <c r="G1024" t="s">
        <v>78</v>
      </c>
      <c r="H1024" t="s">
        <v>218</v>
      </c>
      <c r="I1024">
        <v>0</v>
      </c>
      <c r="J1024">
        <v>4909.74</v>
      </c>
      <c r="K1024" t="s">
        <v>706</v>
      </c>
      <c r="L1024" t="s">
        <v>226</v>
      </c>
      <c r="N1024" t="s">
        <v>193</v>
      </c>
    </row>
    <row r="1025" spans="1:14" x14ac:dyDescent="0.45">
      <c r="A1025">
        <v>1024</v>
      </c>
      <c r="B1025">
        <v>386</v>
      </c>
      <c r="C1025" t="s">
        <v>73</v>
      </c>
      <c r="D1025" t="s">
        <v>689</v>
      </c>
      <c r="E1025">
        <v>2000</v>
      </c>
      <c r="F1025" t="s">
        <v>88</v>
      </c>
      <c r="G1025" t="s">
        <v>89</v>
      </c>
      <c r="H1025" t="s">
        <v>218</v>
      </c>
      <c r="I1025">
        <v>0</v>
      </c>
      <c r="J1025">
        <v>2104.17</v>
      </c>
      <c r="K1025" t="s">
        <v>706</v>
      </c>
      <c r="L1025" t="s">
        <v>226</v>
      </c>
      <c r="N1025" t="s">
        <v>193</v>
      </c>
    </row>
    <row r="1026" spans="1:14" x14ac:dyDescent="0.45">
      <c r="A1026">
        <v>1025</v>
      </c>
      <c r="B1026">
        <v>387</v>
      </c>
      <c r="C1026" t="s">
        <v>73</v>
      </c>
      <c r="D1026" t="s">
        <v>691</v>
      </c>
      <c r="E1026">
        <v>6010</v>
      </c>
      <c r="F1026" t="s">
        <v>119</v>
      </c>
      <c r="G1026" t="s">
        <v>117</v>
      </c>
      <c r="H1026" t="s">
        <v>218</v>
      </c>
      <c r="I1026">
        <v>28470.400000000001</v>
      </c>
      <c r="J1026">
        <v>0</v>
      </c>
      <c r="K1026" t="s">
        <v>707</v>
      </c>
      <c r="L1026" t="s">
        <v>229</v>
      </c>
      <c r="N1026" t="s">
        <v>193</v>
      </c>
    </row>
    <row r="1027" spans="1:14" x14ac:dyDescent="0.45">
      <c r="A1027">
        <v>1026</v>
      </c>
      <c r="B1027">
        <v>387</v>
      </c>
      <c r="C1027" t="s">
        <v>73</v>
      </c>
      <c r="D1027" t="s">
        <v>691</v>
      </c>
      <c r="E1027">
        <v>6020</v>
      </c>
      <c r="F1027" t="s">
        <v>121</v>
      </c>
      <c r="G1027" t="s">
        <v>117</v>
      </c>
      <c r="H1027" t="s">
        <v>218</v>
      </c>
      <c r="I1027">
        <v>3985.86</v>
      </c>
      <c r="J1027">
        <v>0</v>
      </c>
      <c r="K1027" t="s">
        <v>707</v>
      </c>
      <c r="L1027" t="s">
        <v>229</v>
      </c>
      <c r="N1027" t="s">
        <v>193</v>
      </c>
    </row>
    <row r="1028" spans="1:14" x14ac:dyDescent="0.45">
      <c r="A1028">
        <v>1027</v>
      </c>
      <c r="B1028">
        <v>387</v>
      </c>
      <c r="C1028" t="s">
        <v>73</v>
      </c>
      <c r="D1028" t="s">
        <v>691</v>
      </c>
      <c r="E1028">
        <v>1000</v>
      </c>
      <c r="F1028" t="s">
        <v>77</v>
      </c>
      <c r="G1028" t="s">
        <v>78</v>
      </c>
      <c r="H1028" t="s">
        <v>218</v>
      </c>
      <c r="I1028">
        <v>0</v>
      </c>
      <c r="J1028">
        <v>32421.48</v>
      </c>
      <c r="K1028" t="s">
        <v>707</v>
      </c>
      <c r="L1028" t="s">
        <v>229</v>
      </c>
      <c r="N1028" t="s">
        <v>193</v>
      </c>
    </row>
    <row r="1029" spans="1:14" x14ac:dyDescent="0.45">
      <c r="A1029">
        <v>1028</v>
      </c>
      <c r="B1029">
        <v>387</v>
      </c>
      <c r="C1029" t="s">
        <v>73</v>
      </c>
      <c r="D1029" t="s">
        <v>691</v>
      </c>
      <c r="E1029">
        <v>2100</v>
      </c>
      <c r="F1029" t="s">
        <v>91</v>
      </c>
      <c r="G1029" t="s">
        <v>89</v>
      </c>
      <c r="H1029" t="s">
        <v>218</v>
      </c>
      <c r="I1029">
        <v>0</v>
      </c>
      <c r="J1029">
        <v>3245.63</v>
      </c>
      <c r="K1029" t="s">
        <v>707</v>
      </c>
      <c r="L1029" t="s">
        <v>229</v>
      </c>
      <c r="N1029" t="s">
        <v>193</v>
      </c>
    </row>
    <row r="1030" spans="1:14" x14ac:dyDescent="0.45">
      <c r="A1030">
        <v>1029</v>
      </c>
      <c r="B1030">
        <v>387</v>
      </c>
      <c r="C1030" t="s">
        <v>73</v>
      </c>
      <c r="D1030" t="s">
        <v>691</v>
      </c>
      <c r="E1030">
        <v>2100</v>
      </c>
      <c r="F1030" t="s">
        <v>91</v>
      </c>
      <c r="G1030" t="s">
        <v>89</v>
      </c>
      <c r="H1030" t="s">
        <v>218</v>
      </c>
      <c r="I1030">
        <v>3210.85</v>
      </c>
      <c r="J1030">
        <v>0</v>
      </c>
      <c r="K1030" t="s">
        <v>707</v>
      </c>
      <c r="L1030" t="s">
        <v>229</v>
      </c>
      <c r="N1030" t="s">
        <v>193</v>
      </c>
    </row>
    <row r="1031" spans="1:14" x14ac:dyDescent="0.45">
      <c r="A1031">
        <v>1030</v>
      </c>
      <c r="B1031">
        <v>388</v>
      </c>
      <c r="C1031" t="s">
        <v>73</v>
      </c>
      <c r="D1031" t="s">
        <v>693</v>
      </c>
      <c r="E1031">
        <v>6030</v>
      </c>
      <c r="F1031" t="s">
        <v>123</v>
      </c>
      <c r="G1031" t="s">
        <v>117</v>
      </c>
      <c r="H1031" t="s">
        <v>218</v>
      </c>
      <c r="I1031">
        <v>4426.8</v>
      </c>
      <c r="J1031">
        <v>0</v>
      </c>
      <c r="K1031" t="s">
        <v>708</v>
      </c>
      <c r="L1031" t="s">
        <v>232</v>
      </c>
      <c r="N1031" t="s">
        <v>193</v>
      </c>
    </row>
    <row r="1032" spans="1:14" x14ac:dyDescent="0.45">
      <c r="A1032">
        <v>1031</v>
      </c>
      <c r="B1032">
        <v>388</v>
      </c>
      <c r="C1032" t="s">
        <v>73</v>
      </c>
      <c r="D1032" t="s">
        <v>693</v>
      </c>
      <c r="E1032">
        <v>1000</v>
      </c>
      <c r="F1032" t="s">
        <v>77</v>
      </c>
      <c r="G1032" t="s">
        <v>78</v>
      </c>
      <c r="H1032" t="s">
        <v>218</v>
      </c>
      <c r="I1032">
        <v>0</v>
      </c>
      <c r="J1032">
        <v>4426.8</v>
      </c>
      <c r="K1032" t="s">
        <v>708</v>
      </c>
      <c r="L1032" t="s">
        <v>232</v>
      </c>
      <c r="N1032" t="s">
        <v>193</v>
      </c>
    </row>
    <row r="1033" spans="1:14" x14ac:dyDescent="0.45">
      <c r="A1033">
        <v>1032</v>
      </c>
      <c r="B1033">
        <v>389</v>
      </c>
      <c r="C1033" t="s">
        <v>73</v>
      </c>
      <c r="D1033" t="s">
        <v>695</v>
      </c>
      <c r="E1033">
        <v>6040</v>
      </c>
      <c r="F1033" t="s">
        <v>125</v>
      </c>
      <c r="G1033" t="s">
        <v>117</v>
      </c>
      <c r="H1033" t="s">
        <v>218</v>
      </c>
      <c r="I1033">
        <v>2109.4499999999998</v>
      </c>
      <c r="J1033">
        <v>0</v>
      </c>
      <c r="K1033" t="s">
        <v>709</v>
      </c>
      <c r="L1033" t="s">
        <v>226</v>
      </c>
      <c r="N1033" t="s">
        <v>193</v>
      </c>
    </row>
    <row r="1034" spans="1:14" x14ac:dyDescent="0.45">
      <c r="A1034">
        <v>1033</v>
      </c>
      <c r="B1034">
        <v>389</v>
      </c>
      <c r="C1034" t="s">
        <v>73</v>
      </c>
      <c r="D1034" t="s">
        <v>695</v>
      </c>
      <c r="E1034">
        <v>1000</v>
      </c>
      <c r="F1034" t="s">
        <v>77</v>
      </c>
      <c r="G1034" t="s">
        <v>78</v>
      </c>
      <c r="H1034" t="s">
        <v>218</v>
      </c>
      <c r="I1034">
        <v>0</v>
      </c>
      <c r="J1034">
        <v>1687.56</v>
      </c>
      <c r="K1034" t="s">
        <v>709</v>
      </c>
      <c r="L1034" t="s">
        <v>226</v>
      </c>
      <c r="N1034" t="s">
        <v>193</v>
      </c>
    </row>
    <row r="1035" spans="1:14" x14ac:dyDescent="0.45">
      <c r="A1035">
        <v>1034</v>
      </c>
      <c r="B1035">
        <v>389</v>
      </c>
      <c r="C1035" t="s">
        <v>73</v>
      </c>
      <c r="D1035" t="s">
        <v>695</v>
      </c>
      <c r="E1035">
        <v>2000</v>
      </c>
      <c r="F1035" t="s">
        <v>88</v>
      </c>
      <c r="G1035" t="s">
        <v>89</v>
      </c>
      <c r="H1035" t="s">
        <v>218</v>
      </c>
      <c r="I1035">
        <v>0</v>
      </c>
      <c r="J1035">
        <v>421.89</v>
      </c>
      <c r="K1035" t="s">
        <v>709</v>
      </c>
      <c r="L1035" t="s">
        <v>226</v>
      </c>
      <c r="N1035" t="s">
        <v>193</v>
      </c>
    </row>
    <row r="1036" spans="1:14" x14ac:dyDescent="0.45">
      <c r="A1036">
        <v>1035</v>
      </c>
      <c r="B1036">
        <v>390</v>
      </c>
      <c r="C1036" t="s">
        <v>73</v>
      </c>
      <c r="D1036" t="s">
        <v>693</v>
      </c>
      <c r="E1036">
        <v>6050</v>
      </c>
      <c r="F1036" t="s">
        <v>127</v>
      </c>
      <c r="G1036" t="s">
        <v>117</v>
      </c>
      <c r="H1036" t="s">
        <v>218</v>
      </c>
      <c r="I1036">
        <v>899</v>
      </c>
      <c r="J1036">
        <v>0</v>
      </c>
      <c r="K1036" t="s">
        <v>710</v>
      </c>
      <c r="L1036" t="s">
        <v>236</v>
      </c>
      <c r="N1036" t="s">
        <v>193</v>
      </c>
    </row>
    <row r="1037" spans="1:14" x14ac:dyDescent="0.45">
      <c r="A1037">
        <v>1036</v>
      </c>
      <c r="B1037">
        <v>390</v>
      </c>
      <c r="C1037" t="s">
        <v>73</v>
      </c>
      <c r="D1037" t="s">
        <v>693</v>
      </c>
      <c r="E1037">
        <v>1200</v>
      </c>
      <c r="F1037" t="s">
        <v>82</v>
      </c>
      <c r="G1037" t="s">
        <v>78</v>
      </c>
      <c r="H1037" t="s">
        <v>218</v>
      </c>
      <c r="I1037">
        <v>0</v>
      </c>
      <c r="J1037">
        <v>899</v>
      </c>
      <c r="K1037" t="s">
        <v>710</v>
      </c>
      <c r="L1037" t="s">
        <v>236</v>
      </c>
      <c r="N1037" t="s">
        <v>193</v>
      </c>
    </row>
    <row r="1038" spans="1:14" x14ac:dyDescent="0.45">
      <c r="A1038">
        <v>1037</v>
      </c>
      <c r="B1038">
        <v>391</v>
      </c>
      <c r="C1038" t="s">
        <v>73</v>
      </c>
      <c r="D1038" t="s">
        <v>698</v>
      </c>
      <c r="E1038">
        <v>6060</v>
      </c>
      <c r="F1038" t="s">
        <v>129</v>
      </c>
      <c r="G1038" t="s">
        <v>117</v>
      </c>
      <c r="H1038" t="s">
        <v>218</v>
      </c>
      <c r="I1038">
        <v>1432.2</v>
      </c>
      <c r="J1038">
        <v>0</v>
      </c>
      <c r="K1038" t="s">
        <v>711</v>
      </c>
      <c r="L1038" t="s">
        <v>232</v>
      </c>
      <c r="N1038" t="s">
        <v>193</v>
      </c>
    </row>
    <row r="1039" spans="1:14" x14ac:dyDescent="0.45">
      <c r="A1039">
        <v>1038</v>
      </c>
      <c r="B1039">
        <v>391</v>
      </c>
      <c r="C1039" t="s">
        <v>73</v>
      </c>
      <c r="D1039" t="s">
        <v>698</v>
      </c>
      <c r="E1039">
        <v>1000</v>
      </c>
      <c r="F1039" t="s">
        <v>77</v>
      </c>
      <c r="G1039" t="s">
        <v>78</v>
      </c>
      <c r="H1039" t="s">
        <v>218</v>
      </c>
      <c r="I1039">
        <v>0</v>
      </c>
      <c r="J1039">
        <v>1432.2</v>
      </c>
      <c r="K1039" t="s">
        <v>711</v>
      </c>
      <c r="L1039" t="s">
        <v>232</v>
      </c>
      <c r="N1039" t="s">
        <v>193</v>
      </c>
    </row>
    <row r="1040" spans="1:14" x14ac:dyDescent="0.45">
      <c r="A1040">
        <v>1039</v>
      </c>
      <c r="B1040">
        <v>392</v>
      </c>
      <c r="C1040" t="s">
        <v>73</v>
      </c>
      <c r="D1040" t="s">
        <v>700</v>
      </c>
      <c r="E1040">
        <v>7000</v>
      </c>
      <c r="F1040" t="s">
        <v>133</v>
      </c>
      <c r="G1040" t="s">
        <v>117</v>
      </c>
      <c r="H1040" t="s">
        <v>218</v>
      </c>
      <c r="I1040">
        <v>682</v>
      </c>
      <c r="J1040">
        <v>0</v>
      </c>
      <c r="K1040" t="s">
        <v>712</v>
      </c>
      <c r="L1040" t="s">
        <v>241</v>
      </c>
      <c r="N1040" t="s">
        <v>193</v>
      </c>
    </row>
    <row r="1041" spans="1:14" x14ac:dyDescent="0.45">
      <c r="A1041">
        <v>1040</v>
      </c>
      <c r="B1041">
        <v>392</v>
      </c>
      <c r="C1041" t="s">
        <v>73</v>
      </c>
      <c r="D1041" t="s">
        <v>700</v>
      </c>
      <c r="E1041">
        <v>1500</v>
      </c>
      <c r="F1041" t="s">
        <v>86</v>
      </c>
      <c r="G1041" t="s">
        <v>78</v>
      </c>
      <c r="H1041" t="s">
        <v>218</v>
      </c>
      <c r="I1041">
        <v>0</v>
      </c>
      <c r="J1041">
        <v>682</v>
      </c>
      <c r="K1041" t="s">
        <v>712</v>
      </c>
      <c r="L1041" t="s">
        <v>241</v>
      </c>
      <c r="N1041" t="s">
        <v>193</v>
      </c>
    </row>
    <row r="1042" spans="1:14" x14ac:dyDescent="0.45">
      <c r="A1042">
        <v>1041</v>
      </c>
      <c r="B1042">
        <v>393</v>
      </c>
      <c r="C1042" t="s">
        <v>73</v>
      </c>
      <c r="D1042" t="s">
        <v>702</v>
      </c>
      <c r="E1042">
        <v>2000</v>
      </c>
      <c r="F1042" t="s">
        <v>88</v>
      </c>
      <c r="G1042" t="s">
        <v>89</v>
      </c>
      <c r="H1042" t="s">
        <v>218</v>
      </c>
      <c r="I1042">
        <v>2234.4</v>
      </c>
      <c r="J1042">
        <v>0</v>
      </c>
      <c r="K1042" t="s">
        <v>713</v>
      </c>
      <c r="L1042" t="s">
        <v>232</v>
      </c>
      <c r="N1042" t="s">
        <v>193</v>
      </c>
    </row>
    <row r="1043" spans="1:14" x14ac:dyDescent="0.45">
      <c r="A1043">
        <v>1042</v>
      </c>
      <c r="B1043">
        <v>393</v>
      </c>
      <c r="C1043" t="s">
        <v>73</v>
      </c>
      <c r="D1043" t="s">
        <v>702</v>
      </c>
      <c r="E1043">
        <v>1000</v>
      </c>
      <c r="F1043" t="s">
        <v>77</v>
      </c>
      <c r="G1043" t="s">
        <v>78</v>
      </c>
      <c r="H1043" t="s">
        <v>218</v>
      </c>
      <c r="I1043">
        <v>0</v>
      </c>
      <c r="J1043">
        <v>2234.4</v>
      </c>
      <c r="K1043" t="s">
        <v>713</v>
      </c>
      <c r="L1043" t="s">
        <v>232</v>
      </c>
      <c r="N1043" t="s">
        <v>193</v>
      </c>
    </row>
    <row r="1044" spans="1:14" x14ac:dyDescent="0.45">
      <c r="A1044">
        <v>1043</v>
      </c>
      <c r="B1044">
        <v>394</v>
      </c>
      <c r="C1044" t="s">
        <v>74</v>
      </c>
      <c r="D1044" t="s">
        <v>685</v>
      </c>
      <c r="E1044">
        <v>1100</v>
      </c>
      <c r="F1044" t="s">
        <v>80</v>
      </c>
      <c r="G1044" t="s">
        <v>78</v>
      </c>
      <c r="H1044" t="s">
        <v>218</v>
      </c>
      <c r="I1044">
        <v>56021.86</v>
      </c>
      <c r="J1044">
        <v>0</v>
      </c>
      <c r="K1044" t="s">
        <v>714</v>
      </c>
      <c r="L1044" t="s">
        <v>220</v>
      </c>
      <c r="N1044" t="s">
        <v>193</v>
      </c>
    </row>
    <row r="1045" spans="1:14" x14ac:dyDescent="0.45">
      <c r="A1045">
        <v>1044</v>
      </c>
      <c r="B1045">
        <v>394</v>
      </c>
      <c r="C1045" t="s">
        <v>74</v>
      </c>
      <c r="D1045" t="s">
        <v>685</v>
      </c>
      <c r="E1045">
        <v>4010</v>
      </c>
      <c r="F1045" t="s">
        <v>101</v>
      </c>
      <c r="G1045" t="s">
        <v>99</v>
      </c>
      <c r="H1045" t="s">
        <v>218</v>
      </c>
      <c r="I1045">
        <v>0</v>
      </c>
      <c r="J1045">
        <v>23529.18</v>
      </c>
      <c r="K1045" t="s">
        <v>714</v>
      </c>
      <c r="L1045" t="s">
        <v>220</v>
      </c>
      <c r="N1045" t="s">
        <v>193</v>
      </c>
    </row>
    <row r="1046" spans="1:14" x14ac:dyDescent="0.45">
      <c r="A1046">
        <v>1045</v>
      </c>
      <c r="B1046">
        <v>394</v>
      </c>
      <c r="C1046" t="s">
        <v>74</v>
      </c>
      <c r="D1046" t="s">
        <v>685</v>
      </c>
      <c r="E1046">
        <v>4020</v>
      </c>
      <c r="F1046" t="s">
        <v>103</v>
      </c>
      <c r="G1046" t="s">
        <v>99</v>
      </c>
      <c r="H1046" t="s">
        <v>218</v>
      </c>
      <c r="I1046">
        <v>0</v>
      </c>
      <c r="J1046">
        <v>18487.21</v>
      </c>
      <c r="K1046" t="s">
        <v>714</v>
      </c>
      <c r="L1046" t="s">
        <v>220</v>
      </c>
      <c r="N1046" t="s">
        <v>193</v>
      </c>
    </row>
    <row r="1047" spans="1:14" x14ac:dyDescent="0.45">
      <c r="A1047">
        <v>1046</v>
      </c>
      <c r="B1047">
        <v>394</v>
      </c>
      <c r="C1047" t="s">
        <v>74</v>
      </c>
      <c r="D1047" t="s">
        <v>685</v>
      </c>
      <c r="E1047">
        <v>4030</v>
      </c>
      <c r="F1047" t="s">
        <v>105</v>
      </c>
      <c r="G1047" t="s">
        <v>99</v>
      </c>
      <c r="H1047" t="s">
        <v>218</v>
      </c>
      <c r="I1047">
        <v>0</v>
      </c>
      <c r="J1047">
        <v>14005.47</v>
      </c>
      <c r="K1047" t="s">
        <v>714</v>
      </c>
      <c r="L1047" t="s">
        <v>220</v>
      </c>
      <c r="N1047" t="s">
        <v>193</v>
      </c>
    </row>
    <row r="1048" spans="1:14" x14ac:dyDescent="0.45">
      <c r="A1048">
        <v>1047</v>
      </c>
      <c r="B1048">
        <v>395</v>
      </c>
      <c r="C1048" t="s">
        <v>74</v>
      </c>
      <c r="D1048" t="s">
        <v>687</v>
      </c>
      <c r="E1048">
        <v>1000</v>
      </c>
      <c r="F1048" t="s">
        <v>77</v>
      </c>
      <c r="G1048" t="s">
        <v>78</v>
      </c>
      <c r="H1048" t="s">
        <v>218</v>
      </c>
      <c r="I1048">
        <v>53513.71</v>
      </c>
      <c r="J1048">
        <v>0</v>
      </c>
      <c r="K1048" t="s">
        <v>715</v>
      </c>
      <c r="L1048" t="s">
        <v>223</v>
      </c>
      <c r="N1048" t="s">
        <v>193</v>
      </c>
    </row>
    <row r="1049" spans="1:14" x14ac:dyDescent="0.45">
      <c r="A1049">
        <v>1048</v>
      </c>
      <c r="B1049">
        <v>395</v>
      </c>
      <c r="C1049" t="s">
        <v>74</v>
      </c>
      <c r="D1049" t="s">
        <v>687</v>
      </c>
      <c r="E1049">
        <v>1100</v>
      </c>
      <c r="F1049" t="s">
        <v>80</v>
      </c>
      <c r="G1049" t="s">
        <v>78</v>
      </c>
      <c r="H1049" t="s">
        <v>218</v>
      </c>
      <c r="I1049">
        <v>0</v>
      </c>
      <c r="J1049">
        <v>53513.71</v>
      </c>
      <c r="K1049" t="s">
        <v>715</v>
      </c>
      <c r="L1049" t="s">
        <v>223</v>
      </c>
      <c r="N1049" t="s">
        <v>193</v>
      </c>
    </row>
    <row r="1050" spans="1:14" x14ac:dyDescent="0.45">
      <c r="A1050">
        <v>1049</v>
      </c>
      <c r="B1050">
        <v>396</v>
      </c>
      <c r="C1050" t="s">
        <v>74</v>
      </c>
      <c r="D1050" t="s">
        <v>689</v>
      </c>
      <c r="E1050">
        <v>5010</v>
      </c>
      <c r="F1050" t="s">
        <v>112</v>
      </c>
      <c r="G1050" t="s">
        <v>110</v>
      </c>
      <c r="H1050" t="s">
        <v>218</v>
      </c>
      <c r="I1050">
        <v>3181.68</v>
      </c>
      <c r="J1050">
        <v>0</v>
      </c>
      <c r="K1050" t="s">
        <v>716</v>
      </c>
      <c r="L1050" t="s">
        <v>226</v>
      </c>
      <c r="N1050" t="s">
        <v>193</v>
      </c>
    </row>
    <row r="1051" spans="1:14" x14ac:dyDescent="0.45">
      <c r="A1051">
        <v>1050</v>
      </c>
      <c r="B1051">
        <v>396</v>
      </c>
      <c r="C1051" t="s">
        <v>74</v>
      </c>
      <c r="D1051" t="s">
        <v>689</v>
      </c>
      <c r="E1051">
        <v>5020</v>
      </c>
      <c r="F1051" t="s">
        <v>114</v>
      </c>
      <c r="G1051" t="s">
        <v>110</v>
      </c>
      <c r="H1051" t="s">
        <v>218</v>
      </c>
      <c r="I1051">
        <v>2603.19</v>
      </c>
      <c r="J1051">
        <v>0</v>
      </c>
      <c r="K1051" t="s">
        <v>716</v>
      </c>
      <c r="L1051" t="s">
        <v>226</v>
      </c>
      <c r="N1051" t="s">
        <v>193</v>
      </c>
    </row>
    <row r="1052" spans="1:14" x14ac:dyDescent="0.45">
      <c r="A1052">
        <v>1051</v>
      </c>
      <c r="B1052">
        <v>396</v>
      </c>
      <c r="C1052" t="s">
        <v>74</v>
      </c>
      <c r="D1052" t="s">
        <v>689</v>
      </c>
      <c r="E1052">
        <v>1000</v>
      </c>
      <c r="F1052" t="s">
        <v>77</v>
      </c>
      <c r="G1052" t="s">
        <v>78</v>
      </c>
      <c r="H1052" t="s">
        <v>218</v>
      </c>
      <c r="I1052">
        <v>0</v>
      </c>
      <c r="J1052">
        <v>4049.41</v>
      </c>
      <c r="K1052" t="s">
        <v>716</v>
      </c>
      <c r="L1052" t="s">
        <v>226</v>
      </c>
      <c r="N1052" t="s">
        <v>193</v>
      </c>
    </row>
    <row r="1053" spans="1:14" x14ac:dyDescent="0.45">
      <c r="A1053">
        <v>1052</v>
      </c>
      <c r="B1053">
        <v>396</v>
      </c>
      <c r="C1053" t="s">
        <v>74</v>
      </c>
      <c r="D1053" t="s">
        <v>689</v>
      </c>
      <c r="E1053">
        <v>2000</v>
      </c>
      <c r="F1053" t="s">
        <v>88</v>
      </c>
      <c r="G1053" t="s">
        <v>89</v>
      </c>
      <c r="H1053" t="s">
        <v>218</v>
      </c>
      <c r="I1053">
        <v>0</v>
      </c>
      <c r="J1053">
        <v>1735.46</v>
      </c>
      <c r="K1053" t="s">
        <v>716</v>
      </c>
      <c r="L1053" t="s">
        <v>226</v>
      </c>
      <c r="N1053" t="s">
        <v>193</v>
      </c>
    </row>
    <row r="1054" spans="1:14" x14ac:dyDescent="0.45">
      <c r="A1054">
        <v>1053</v>
      </c>
      <c r="B1054">
        <v>397</v>
      </c>
      <c r="C1054" t="s">
        <v>74</v>
      </c>
      <c r="D1054" t="s">
        <v>691</v>
      </c>
      <c r="E1054">
        <v>6010</v>
      </c>
      <c r="F1054" t="s">
        <v>119</v>
      </c>
      <c r="G1054" t="s">
        <v>117</v>
      </c>
      <c r="H1054" t="s">
        <v>218</v>
      </c>
      <c r="I1054">
        <v>25256</v>
      </c>
      <c r="J1054">
        <v>0</v>
      </c>
      <c r="K1054" t="s">
        <v>717</v>
      </c>
      <c r="L1054" t="s">
        <v>229</v>
      </c>
      <c r="N1054" t="s">
        <v>193</v>
      </c>
    </row>
    <row r="1055" spans="1:14" x14ac:dyDescent="0.45">
      <c r="A1055">
        <v>1054</v>
      </c>
      <c r="B1055">
        <v>397</v>
      </c>
      <c r="C1055" t="s">
        <v>74</v>
      </c>
      <c r="D1055" t="s">
        <v>691</v>
      </c>
      <c r="E1055">
        <v>6020</v>
      </c>
      <c r="F1055" t="s">
        <v>121</v>
      </c>
      <c r="G1055" t="s">
        <v>117</v>
      </c>
      <c r="H1055" t="s">
        <v>218</v>
      </c>
      <c r="I1055">
        <v>3535.84</v>
      </c>
      <c r="J1055">
        <v>0</v>
      </c>
      <c r="K1055" t="s">
        <v>717</v>
      </c>
      <c r="L1055" t="s">
        <v>229</v>
      </c>
      <c r="N1055" t="s">
        <v>193</v>
      </c>
    </row>
    <row r="1056" spans="1:14" x14ac:dyDescent="0.45">
      <c r="A1056">
        <v>1055</v>
      </c>
      <c r="B1056">
        <v>397</v>
      </c>
      <c r="C1056" t="s">
        <v>74</v>
      </c>
      <c r="D1056" t="s">
        <v>691</v>
      </c>
      <c r="E1056">
        <v>1000</v>
      </c>
      <c r="F1056" t="s">
        <v>77</v>
      </c>
      <c r="G1056" t="s">
        <v>78</v>
      </c>
      <c r="H1056" t="s">
        <v>218</v>
      </c>
      <c r="I1056">
        <v>0</v>
      </c>
      <c r="J1056">
        <v>28761</v>
      </c>
      <c r="K1056" t="s">
        <v>717</v>
      </c>
      <c r="L1056" t="s">
        <v>229</v>
      </c>
      <c r="N1056" t="s">
        <v>193</v>
      </c>
    </row>
    <row r="1057" spans="1:14" x14ac:dyDescent="0.45">
      <c r="A1057">
        <v>1056</v>
      </c>
      <c r="B1057">
        <v>397</v>
      </c>
      <c r="C1057" t="s">
        <v>74</v>
      </c>
      <c r="D1057" t="s">
        <v>691</v>
      </c>
      <c r="E1057">
        <v>2100</v>
      </c>
      <c r="F1057" t="s">
        <v>91</v>
      </c>
      <c r="G1057" t="s">
        <v>89</v>
      </c>
      <c r="H1057" t="s">
        <v>218</v>
      </c>
      <c r="I1057">
        <v>0</v>
      </c>
      <c r="J1057">
        <v>2879.18</v>
      </c>
      <c r="K1057" t="s">
        <v>717</v>
      </c>
      <c r="L1057" t="s">
        <v>229</v>
      </c>
      <c r="N1057" t="s">
        <v>193</v>
      </c>
    </row>
    <row r="1058" spans="1:14" x14ac:dyDescent="0.45">
      <c r="A1058">
        <v>1057</v>
      </c>
      <c r="B1058">
        <v>397</v>
      </c>
      <c r="C1058" t="s">
        <v>74</v>
      </c>
      <c r="D1058" t="s">
        <v>691</v>
      </c>
      <c r="E1058">
        <v>2100</v>
      </c>
      <c r="F1058" t="s">
        <v>91</v>
      </c>
      <c r="G1058" t="s">
        <v>89</v>
      </c>
      <c r="H1058" t="s">
        <v>218</v>
      </c>
      <c r="I1058">
        <v>2848.34</v>
      </c>
      <c r="J1058">
        <v>0</v>
      </c>
      <c r="K1058" t="s">
        <v>717</v>
      </c>
      <c r="L1058" t="s">
        <v>229</v>
      </c>
      <c r="N1058" t="s">
        <v>193</v>
      </c>
    </row>
    <row r="1059" spans="1:14" x14ac:dyDescent="0.45">
      <c r="A1059">
        <v>1058</v>
      </c>
      <c r="B1059">
        <v>398</v>
      </c>
      <c r="C1059" t="s">
        <v>74</v>
      </c>
      <c r="D1059" t="s">
        <v>693</v>
      </c>
      <c r="E1059">
        <v>6030</v>
      </c>
      <c r="F1059" t="s">
        <v>123</v>
      </c>
      <c r="G1059" t="s">
        <v>117</v>
      </c>
      <c r="H1059" t="s">
        <v>218</v>
      </c>
      <c r="I1059">
        <v>3927</v>
      </c>
      <c r="J1059">
        <v>0</v>
      </c>
      <c r="K1059" t="s">
        <v>718</v>
      </c>
      <c r="L1059" t="s">
        <v>232</v>
      </c>
      <c r="N1059" t="s">
        <v>193</v>
      </c>
    </row>
    <row r="1060" spans="1:14" x14ac:dyDescent="0.45">
      <c r="A1060">
        <v>1059</v>
      </c>
      <c r="B1060">
        <v>398</v>
      </c>
      <c r="C1060" t="s">
        <v>74</v>
      </c>
      <c r="D1060" t="s">
        <v>693</v>
      </c>
      <c r="E1060">
        <v>1000</v>
      </c>
      <c r="F1060" t="s">
        <v>77</v>
      </c>
      <c r="G1060" t="s">
        <v>78</v>
      </c>
      <c r="H1060" t="s">
        <v>218</v>
      </c>
      <c r="I1060">
        <v>0</v>
      </c>
      <c r="J1060">
        <v>3927</v>
      </c>
      <c r="K1060" t="s">
        <v>718</v>
      </c>
      <c r="L1060" t="s">
        <v>232</v>
      </c>
      <c r="N1060" t="s">
        <v>193</v>
      </c>
    </row>
    <row r="1061" spans="1:14" x14ac:dyDescent="0.45">
      <c r="A1061">
        <v>1060</v>
      </c>
      <c r="B1061">
        <v>399</v>
      </c>
      <c r="C1061" t="s">
        <v>74</v>
      </c>
      <c r="D1061" t="s">
        <v>695</v>
      </c>
      <c r="E1061">
        <v>6040</v>
      </c>
      <c r="F1061" t="s">
        <v>125</v>
      </c>
      <c r="G1061" t="s">
        <v>117</v>
      </c>
      <c r="H1061" t="s">
        <v>218</v>
      </c>
      <c r="I1061">
        <v>1739.81</v>
      </c>
      <c r="J1061">
        <v>0</v>
      </c>
      <c r="K1061" t="s">
        <v>719</v>
      </c>
      <c r="L1061" t="s">
        <v>226</v>
      </c>
      <c r="N1061" t="s">
        <v>193</v>
      </c>
    </row>
    <row r="1062" spans="1:14" x14ac:dyDescent="0.45">
      <c r="A1062">
        <v>1061</v>
      </c>
      <c r="B1062">
        <v>399</v>
      </c>
      <c r="C1062" t="s">
        <v>74</v>
      </c>
      <c r="D1062" t="s">
        <v>695</v>
      </c>
      <c r="E1062">
        <v>1000</v>
      </c>
      <c r="F1062" t="s">
        <v>77</v>
      </c>
      <c r="G1062" t="s">
        <v>78</v>
      </c>
      <c r="H1062" t="s">
        <v>218</v>
      </c>
      <c r="I1062">
        <v>0</v>
      </c>
      <c r="J1062">
        <v>1391.85</v>
      </c>
      <c r="K1062" t="s">
        <v>719</v>
      </c>
      <c r="L1062" t="s">
        <v>226</v>
      </c>
      <c r="N1062" t="s">
        <v>193</v>
      </c>
    </row>
    <row r="1063" spans="1:14" x14ac:dyDescent="0.45">
      <c r="A1063">
        <v>1062</v>
      </c>
      <c r="B1063">
        <v>399</v>
      </c>
      <c r="C1063" t="s">
        <v>74</v>
      </c>
      <c r="D1063" t="s">
        <v>695</v>
      </c>
      <c r="E1063">
        <v>2000</v>
      </c>
      <c r="F1063" t="s">
        <v>88</v>
      </c>
      <c r="G1063" t="s">
        <v>89</v>
      </c>
      <c r="H1063" t="s">
        <v>218</v>
      </c>
      <c r="I1063">
        <v>0</v>
      </c>
      <c r="J1063">
        <v>347.96</v>
      </c>
      <c r="K1063" t="s">
        <v>719</v>
      </c>
      <c r="L1063" t="s">
        <v>226</v>
      </c>
      <c r="N1063" t="s">
        <v>193</v>
      </c>
    </row>
    <row r="1064" spans="1:14" x14ac:dyDescent="0.45">
      <c r="A1064">
        <v>1063</v>
      </c>
      <c r="B1064">
        <v>400</v>
      </c>
      <c r="C1064" t="s">
        <v>74</v>
      </c>
      <c r="D1064" t="s">
        <v>693</v>
      </c>
      <c r="E1064">
        <v>6050</v>
      </c>
      <c r="F1064" t="s">
        <v>127</v>
      </c>
      <c r="G1064" t="s">
        <v>117</v>
      </c>
      <c r="H1064" t="s">
        <v>218</v>
      </c>
      <c r="I1064">
        <v>797.5</v>
      </c>
      <c r="J1064">
        <v>0</v>
      </c>
      <c r="K1064" t="s">
        <v>720</v>
      </c>
      <c r="L1064" t="s">
        <v>236</v>
      </c>
      <c r="N1064" t="s">
        <v>193</v>
      </c>
    </row>
    <row r="1065" spans="1:14" x14ac:dyDescent="0.45">
      <c r="A1065">
        <v>1064</v>
      </c>
      <c r="B1065">
        <v>400</v>
      </c>
      <c r="C1065" t="s">
        <v>74</v>
      </c>
      <c r="D1065" t="s">
        <v>693</v>
      </c>
      <c r="E1065">
        <v>1200</v>
      </c>
      <c r="F1065" t="s">
        <v>82</v>
      </c>
      <c r="G1065" t="s">
        <v>78</v>
      </c>
      <c r="H1065" t="s">
        <v>218</v>
      </c>
      <c r="I1065">
        <v>0</v>
      </c>
      <c r="J1065">
        <v>797.5</v>
      </c>
      <c r="K1065" t="s">
        <v>720</v>
      </c>
      <c r="L1065" t="s">
        <v>236</v>
      </c>
      <c r="N1065" t="s">
        <v>193</v>
      </c>
    </row>
    <row r="1066" spans="1:14" x14ac:dyDescent="0.45">
      <c r="A1066">
        <v>1065</v>
      </c>
      <c r="B1066">
        <v>401</v>
      </c>
      <c r="C1066" t="s">
        <v>74</v>
      </c>
      <c r="D1066" t="s">
        <v>698</v>
      </c>
      <c r="E1066">
        <v>6060</v>
      </c>
      <c r="F1066" t="s">
        <v>129</v>
      </c>
      <c r="G1066" t="s">
        <v>117</v>
      </c>
      <c r="H1066" t="s">
        <v>218</v>
      </c>
      <c r="I1066">
        <v>1270.5</v>
      </c>
      <c r="J1066">
        <v>0</v>
      </c>
      <c r="K1066" t="s">
        <v>721</v>
      </c>
      <c r="L1066" t="s">
        <v>232</v>
      </c>
      <c r="N1066" t="s">
        <v>193</v>
      </c>
    </row>
    <row r="1067" spans="1:14" x14ac:dyDescent="0.45">
      <c r="A1067">
        <v>1066</v>
      </c>
      <c r="B1067">
        <v>401</v>
      </c>
      <c r="C1067" t="s">
        <v>74</v>
      </c>
      <c r="D1067" t="s">
        <v>698</v>
      </c>
      <c r="E1067">
        <v>1000</v>
      </c>
      <c r="F1067" t="s">
        <v>77</v>
      </c>
      <c r="G1067" t="s">
        <v>78</v>
      </c>
      <c r="H1067" t="s">
        <v>218</v>
      </c>
      <c r="I1067">
        <v>0</v>
      </c>
      <c r="J1067">
        <v>1270.5</v>
      </c>
      <c r="K1067" t="s">
        <v>721</v>
      </c>
      <c r="L1067" t="s">
        <v>232</v>
      </c>
      <c r="N1067" t="s">
        <v>193</v>
      </c>
    </row>
    <row r="1068" spans="1:14" x14ac:dyDescent="0.45">
      <c r="A1068">
        <v>1067</v>
      </c>
      <c r="B1068">
        <v>402</v>
      </c>
      <c r="C1068" t="s">
        <v>74</v>
      </c>
      <c r="D1068" t="s">
        <v>700</v>
      </c>
      <c r="E1068">
        <v>7000</v>
      </c>
      <c r="F1068" t="s">
        <v>133</v>
      </c>
      <c r="G1068" t="s">
        <v>117</v>
      </c>
      <c r="H1068" t="s">
        <v>218</v>
      </c>
      <c r="I1068">
        <v>605</v>
      </c>
      <c r="J1068">
        <v>0</v>
      </c>
      <c r="K1068" t="s">
        <v>722</v>
      </c>
      <c r="L1068" t="s">
        <v>241</v>
      </c>
      <c r="N1068" t="s">
        <v>193</v>
      </c>
    </row>
    <row r="1069" spans="1:14" x14ac:dyDescent="0.45">
      <c r="A1069">
        <v>1068</v>
      </c>
      <c r="B1069">
        <v>402</v>
      </c>
      <c r="C1069" t="s">
        <v>74</v>
      </c>
      <c r="D1069" t="s">
        <v>700</v>
      </c>
      <c r="E1069">
        <v>1500</v>
      </c>
      <c r="F1069" t="s">
        <v>86</v>
      </c>
      <c r="G1069" t="s">
        <v>78</v>
      </c>
      <c r="H1069" t="s">
        <v>218</v>
      </c>
      <c r="I1069">
        <v>0</v>
      </c>
      <c r="J1069">
        <v>605</v>
      </c>
      <c r="K1069" t="s">
        <v>722</v>
      </c>
      <c r="L1069" t="s">
        <v>241</v>
      </c>
      <c r="N1069" t="s">
        <v>193</v>
      </c>
    </row>
    <row r="1070" spans="1:14" x14ac:dyDescent="0.45">
      <c r="A1070">
        <v>1069</v>
      </c>
      <c r="B1070">
        <v>403</v>
      </c>
      <c r="C1070" t="s">
        <v>74</v>
      </c>
      <c r="D1070" t="s">
        <v>702</v>
      </c>
      <c r="E1070">
        <v>2000</v>
      </c>
      <c r="F1070" t="s">
        <v>88</v>
      </c>
      <c r="G1070" t="s">
        <v>89</v>
      </c>
      <c r="H1070" t="s">
        <v>218</v>
      </c>
      <c r="I1070">
        <v>2174.6999999999998</v>
      </c>
      <c r="J1070">
        <v>0</v>
      </c>
      <c r="K1070" t="s">
        <v>723</v>
      </c>
      <c r="L1070" t="s">
        <v>232</v>
      </c>
      <c r="N1070" t="s">
        <v>193</v>
      </c>
    </row>
    <row r="1071" spans="1:14" x14ac:dyDescent="0.45">
      <c r="A1071">
        <v>1070</v>
      </c>
      <c r="B1071">
        <v>403</v>
      </c>
      <c r="C1071" t="s">
        <v>74</v>
      </c>
      <c r="D1071" t="s">
        <v>702</v>
      </c>
      <c r="E1071">
        <v>1000</v>
      </c>
      <c r="F1071" t="s">
        <v>77</v>
      </c>
      <c r="G1071" t="s">
        <v>78</v>
      </c>
      <c r="H1071" t="s">
        <v>218</v>
      </c>
      <c r="I1071">
        <v>0</v>
      </c>
      <c r="J1071">
        <v>2174.6999999999998</v>
      </c>
      <c r="K1071" t="s">
        <v>723</v>
      </c>
      <c r="L1071" t="s">
        <v>232</v>
      </c>
      <c r="N1071" t="s">
        <v>193</v>
      </c>
    </row>
    <row r="1072" spans="1:14" x14ac:dyDescent="0.45">
      <c r="A1072">
        <v>1071</v>
      </c>
      <c r="B1072">
        <v>404</v>
      </c>
      <c r="C1072" t="s">
        <v>72</v>
      </c>
      <c r="D1072" t="s">
        <v>724</v>
      </c>
      <c r="E1072">
        <v>1300</v>
      </c>
      <c r="F1072" t="s">
        <v>84</v>
      </c>
      <c r="G1072" t="s">
        <v>78</v>
      </c>
      <c r="H1072" t="s">
        <v>261</v>
      </c>
      <c r="I1072">
        <v>3546.4</v>
      </c>
      <c r="J1072">
        <v>0</v>
      </c>
      <c r="K1072" t="s">
        <v>725</v>
      </c>
      <c r="L1072" t="s">
        <v>263</v>
      </c>
      <c r="M1072" t="s">
        <v>73</v>
      </c>
      <c r="N1072" t="s">
        <v>193</v>
      </c>
    </row>
    <row r="1073" spans="1:14" x14ac:dyDescent="0.45">
      <c r="A1073">
        <v>1072</v>
      </c>
      <c r="B1073">
        <v>404</v>
      </c>
      <c r="C1073" t="s">
        <v>72</v>
      </c>
      <c r="D1073" t="s">
        <v>724</v>
      </c>
      <c r="E1073">
        <v>4090</v>
      </c>
      <c r="F1073" t="s">
        <v>107</v>
      </c>
      <c r="G1073" t="s">
        <v>99</v>
      </c>
      <c r="H1073" t="s">
        <v>261</v>
      </c>
      <c r="I1073">
        <v>0</v>
      </c>
      <c r="J1073">
        <v>3546.4</v>
      </c>
      <c r="K1073" t="s">
        <v>725</v>
      </c>
      <c r="L1073" t="s">
        <v>263</v>
      </c>
      <c r="M1073" t="s">
        <v>73</v>
      </c>
      <c r="N1073" t="s">
        <v>193</v>
      </c>
    </row>
    <row r="1074" spans="1:14" x14ac:dyDescent="0.45">
      <c r="A1074">
        <v>1073</v>
      </c>
      <c r="B1074">
        <v>405</v>
      </c>
      <c r="C1074" t="s">
        <v>73</v>
      </c>
      <c r="D1074" t="s">
        <v>724</v>
      </c>
      <c r="E1074">
        <v>6070</v>
      </c>
      <c r="F1074" t="s">
        <v>131</v>
      </c>
      <c r="G1074" t="s">
        <v>117</v>
      </c>
      <c r="H1074" t="s">
        <v>261</v>
      </c>
      <c r="I1074">
        <v>3546.4</v>
      </c>
      <c r="J1074">
        <v>0</v>
      </c>
      <c r="K1074" t="s">
        <v>726</v>
      </c>
      <c r="L1074" t="s">
        <v>263</v>
      </c>
      <c r="M1074" t="s">
        <v>72</v>
      </c>
      <c r="N1074" t="s">
        <v>193</v>
      </c>
    </row>
    <row r="1075" spans="1:14" x14ac:dyDescent="0.45">
      <c r="A1075">
        <v>1074</v>
      </c>
      <c r="B1075">
        <v>405</v>
      </c>
      <c r="C1075" t="s">
        <v>73</v>
      </c>
      <c r="D1075" t="s">
        <v>724</v>
      </c>
      <c r="E1075">
        <v>2200</v>
      </c>
      <c r="F1075" t="s">
        <v>93</v>
      </c>
      <c r="G1075" t="s">
        <v>89</v>
      </c>
      <c r="H1075" t="s">
        <v>261</v>
      </c>
      <c r="I1075">
        <v>0</v>
      </c>
      <c r="J1075">
        <v>3546.4</v>
      </c>
      <c r="K1075" t="s">
        <v>726</v>
      </c>
      <c r="L1075" t="s">
        <v>263</v>
      </c>
      <c r="M1075" t="s">
        <v>72</v>
      </c>
      <c r="N1075" t="s">
        <v>193</v>
      </c>
    </row>
    <row r="1076" spans="1:14" x14ac:dyDescent="0.45">
      <c r="A1076">
        <v>1075</v>
      </c>
      <c r="B1076">
        <v>406</v>
      </c>
      <c r="C1076" t="s">
        <v>73</v>
      </c>
      <c r="D1076" t="s">
        <v>687</v>
      </c>
      <c r="E1076">
        <v>2200</v>
      </c>
      <c r="F1076" t="s">
        <v>93</v>
      </c>
      <c r="G1076" t="s">
        <v>89</v>
      </c>
      <c r="H1076" t="s">
        <v>261</v>
      </c>
      <c r="I1076">
        <v>3514.16</v>
      </c>
      <c r="J1076">
        <v>0</v>
      </c>
      <c r="K1076" t="s">
        <v>727</v>
      </c>
      <c r="L1076" t="s">
        <v>309</v>
      </c>
      <c r="M1076" t="s">
        <v>72</v>
      </c>
      <c r="N1076" t="s">
        <v>193</v>
      </c>
    </row>
    <row r="1077" spans="1:14" x14ac:dyDescent="0.45">
      <c r="A1077">
        <v>1076</v>
      </c>
      <c r="B1077">
        <v>406</v>
      </c>
      <c r="C1077" t="s">
        <v>73</v>
      </c>
      <c r="D1077" t="s">
        <v>687</v>
      </c>
      <c r="E1077">
        <v>1000</v>
      </c>
      <c r="F1077" t="s">
        <v>77</v>
      </c>
      <c r="G1077" t="s">
        <v>78</v>
      </c>
      <c r="H1077" t="s">
        <v>218</v>
      </c>
      <c r="I1077">
        <v>0</v>
      </c>
      <c r="J1077">
        <v>3514.16</v>
      </c>
      <c r="K1077" t="s">
        <v>727</v>
      </c>
      <c r="L1077" t="s">
        <v>309</v>
      </c>
      <c r="M1077" t="s">
        <v>72</v>
      </c>
      <c r="N1077" t="s">
        <v>193</v>
      </c>
    </row>
    <row r="1078" spans="1:14" x14ac:dyDescent="0.45">
      <c r="A1078">
        <v>1077</v>
      </c>
      <c r="B1078">
        <v>407</v>
      </c>
      <c r="C1078" t="s">
        <v>72</v>
      </c>
      <c r="D1078" t="s">
        <v>687</v>
      </c>
      <c r="E1078">
        <v>1000</v>
      </c>
      <c r="F1078" t="s">
        <v>77</v>
      </c>
      <c r="G1078" t="s">
        <v>78</v>
      </c>
      <c r="H1078" t="s">
        <v>218</v>
      </c>
      <c r="I1078">
        <v>3514.16</v>
      </c>
      <c r="J1078">
        <v>0</v>
      </c>
      <c r="K1078" t="s">
        <v>728</v>
      </c>
      <c r="L1078" t="s">
        <v>309</v>
      </c>
      <c r="M1078" t="s">
        <v>73</v>
      </c>
      <c r="N1078" t="s">
        <v>193</v>
      </c>
    </row>
    <row r="1079" spans="1:14" x14ac:dyDescent="0.45">
      <c r="A1079">
        <v>1078</v>
      </c>
      <c r="B1079">
        <v>407</v>
      </c>
      <c r="C1079" t="s">
        <v>72</v>
      </c>
      <c r="D1079" t="s">
        <v>687</v>
      </c>
      <c r="E1079">
        <v>1300</v>
      </c>
      <c r="F1079" t="s">
        <v>84</v>
      </c>
      <c r="G1079" t="s">
        <v>78</v>
      </c>
      <c r="H1079" t="s">
        <v>261</v>
      </c>
      <c r="I1079">
        <v>0</v>
      </c>
      <c r="J1079">
        <v>3514.16</v>
      </c>
      <c r="K1079" t="s">
        <v>728</v>
      </c>
      <c r="L1079" t="s">
        <v>309</v>
      </c>
      <c r="M1079" t="s">
        <v>73</v>
      </c>
      <c r="N1079" t="s">
        <v>193</v>
      </c>
    </row>
    <row r="1080" spans="1:14" x14ac:dyDescent="0.45">
      <c r="A1080">
        <v>1079</v>
      </c>
      <c r="B1080">
        <v>408</v>
      </c>
      <c r="C1080" t="s">
        <v>72</v>
      </c>
      <c r="D1080" t="s">
        <v>724</v>
      </c>
      <c r="E1080">
        <v>1300</v>
      </c>
      <c r="F1080" t="s">
        <v>84</v>
      </c>
      <c r="G1080" t="s">
        <v>78</v>
      </c>
      <c r="H1080" t="s">
        <v>261</v>
      </c>
      <c r="I1080">
        <v>3146</v>
      </c>
      <c r="J1080">
        <v>0</v>
      </c>
      <c r="K1080" t="s">
        <v>729</v>
      </c>
      <c r="L1080" t="s">
        <v>263</v>
      </c>
      <c r="M1080" t="s">
        <v>74</v>
      </c>
      <c r="N1080" t="s">
        <v>193</v>
      </c>
    </row>
    <row r="1081" spans="1:14" x14ac:dyDescent="0.45">
      <c r="A1081">
        <v>1080</v>
      </c>
      <c r="B1081">
        <v>408</v>
      </c>
      <c r="C1081" t="s">
        <v>72</v>
      </c>
      <c r="D1081" t="s">
        <v>724</v>
      </c>
      <c r="E1081">
        <v>4090</v>
      </c>
      <c r="F1081" t="s">
        <v>107</v>
      </c>
      <c r="G1081" t="s">
        <v>99</v>
      </c>
      <c r="H1081" t="s">
        <v>261</v>
      </c>
      <c r="I1081">
        <v>0</v>
      </c>
      <c r="J1081">
        <v>3146</v>
      </c>
      <c r="K1081" t="s">
        <v>729</v>
      </c>
      <c r="L1081" t="s">
        <v>263</v>
      </c>
      <c r="M1081" t="s">
        <v>74</v>
      </c>
      <c r="N1081" t="s">
        <v>193</v>
      </c>
    </row>
    <row r="1082" spans="1:14" x14ac:dyDescent="0.45">
      <c r="A1082">
        <v>1081</v>
      </c>
      <c r="B1082">
        <v>409</v>
      </c>
      <c r="C1082" t="s">
        <v>74</v>
      </c>
      <c r="D1082" t="s">
        <v>724</v>
      </c>
      <c r="E1082">
        <v>6070</v>
      </c>
      <c r="F1082" t="s">
        <v>131</v>
      </c>
      <c r="G1082" t="s">
        <v>117</v>
      </c>
      <c r="H1082" t="s">
        <v>261</v>
      </c>
      <c r="I1082">
        <v>3146</v>
      </c>
      <c r="J1082">
        <v>0</v>
      </c>
      <c r="K1082" t="s">
        <v>726</v>
      </c>
      <c r="L1082" t="s">
        <v>263</v>
      </c>
      <c r="M1082" t="s">
        <v>72</v>
      </c>
      <c r="N1082" t="s">
        <v>193</v>
      </c>
    </row>
    <row r="1083" spans="1:14" x14ac:dyDescent="0.45">
      <c r="A1083">
        <v>1082</v>
      </c>
      <c r="B1083">
        <v>409</v>
      </c>
      <c r="C1083" t="s">
        <v>74</v>
      </c>
      <c r="D1083" t="s">
        <v>724</v>
      </c>
      <c r="E1083">
        <v>2200</v>
      </c>
      <c r="F1083" t="s">
        <v>93</v>
      </c>
      <c r="G1083" t="s">
        <v>89</v>
      </c>
      <c r="H1083" t="s">
        <v>261</v>
      </c>
      <c r="I1083">
        <v>0</v>
      </c>
      <c r="J1083">
        <v>3146</v>
      </c>
      <c r="K1083" t="s">
        <v>726</v>
      </c>
      <c r="L1083" t="s">
        <v>263</v>
      </c>
      <c r="M1083" t="s">
        <v>72</v>
      </c>
      <c r="N1083" t="s">
        <v>193</v>
      </c>
    </row>
    <row r="1084" spans="1:14" x14ac:dyDescent="0.45">
      <c r="A1084">
        <v>1083</v>
      </c>
      <c r="B1084">
        <v>410</v>
      </c>
      <c r="C1084" t="s">
        <v>74</v>
      </c>
      <c r="D1084" t="s">
        <v>687</v>
      </c>
      <c r="E1084">
        <v>2200</v>
      </c>
      <c r="F1084" t="s">
        <v>93</v>
      </c>
      <c r="G1084" t="s">
        <v>89</v>
      </c>
      <c r="H1084" t="s">
        <v>261</v>
      </c>
      <c r="I1084">
        <v>3117.4</v>
      </c>
      <c r="J1084">
        <v>0</v>
      </c>
      <c r="K1084" t="s">
        <v>727</v>
      </c>
      <c r="L1084" t="s">
        <v>309</v>
      </c>
      <c r="M1084" t="s">
        <v>72</v>
      </c>
      <c r="N1084" t="s">
        <v>193</v>
      </c>
    </row>
    <row r="1085" spans="1:14" x14ac:dyDescent="0.45">
      <c r="A1085">
        <v>1084</v>
      </c>
      <c r="B1085">
        <v>410</v>
      </c>
      <c r="C1085" t="s">
        <v>74</v>
      </c>
      <c r="D1085" t="s">
        <v>687</v>
      </c>
      <c r="E1085">
        <v>1000</v>
      </c>
      <c r="F1085" t="s">
        <v>77</v>
      </c>
      <c r="G1085" t="s">
        <v>78</v>
      </c>
      <c r="H1085" t="s">
        <v>218</v>
      </c>
      <c r="I1085">
        <v>0</v>
      </c>
      <c r="J1085">
        <v>3117.4</v>
      </c>
      <c r="K1085" t="s">
        <v>727</v>
      </c>
      <c r="L1085" t="s">
        <v>309</v>
      </c>
      <c r="M1085" t="s">
        <v>72</v>
      </c>
      <c r="N1085" t="s">
        <v>193</v>
      </c>
    </row>
    <row r="1086" spans="1:14" x14ac:dyDescent="0.45">
      <c r="A1086">
        <v>1085</v>
      </c>
      <c r="B1086">
        <v>411</v>
      </c>
      <c r="C1086" t="s">
        <v>72</v>
      </c>
      <c r="D1086" t="s">
        <v>687</v>
      </c>
      <c r="E1086">
        <v>1000</v>
      </c>
      <c r="F1086" t="s">
        <v>77</v>
      </c>
      <c r="G1086" t="s">
        <v>78</v>
      </c>
      <c r="H1086" t="s">
        <v>218</v>
      </c>
      <c r="I1086">
        <v>3117.4</v>
      </c>
      <c r="J1086">
        <v>0</v>
      </c>
      <c r="K1086" t="s">
        <v>730</v>
      </c>
      <c r="L1086" t="s">
        <v>309</v>
      </c>
      <c r="M1086" t="s">
        <v>74</v>
      </c>
      <c r="N1086" t="s">
        <v>193</v>
      </c>
    </row>
    <row r="1087" spans="1:14" x14ac:dyDescent="0.45">
      <c r="A1087">
        <v>1086</v>
      </c>
      <c r="B1087">
        <v>411</v>
      </c>
      <c r="C1087" t="s">
        <v>72</v>
      </c>
      <c r="D1087" t="s">
        <v>687</v>
      </c>
      <c r="E1087">
        <v>1300</v>
      </c>
      <c r="F1087" t="s">
        <v>84</v>
      </c>
      <c r="G1087" t="s">
        <v>78</v>
      </c>
      <c r="H1087" t="s">
        <v>261</v>
      </c>
      <c r="I1087">
        <v>0</v>
      </c>
      <c r="J1087">
        <v>3117.4</v>
      </c>
      <c r="K1087" t="s">
        <v>730</v>
      </c>
      <c r="L1087" t="s">
        <v>309</v>
      </c>
      <c r="M1087" t="s">
        <v>74</v>
      </c>
      <c r="N1087" t="s">
        <v>193</v>
      </c>
    </row>
    <row r="1088" spans="1:14" x14ac:dyDescent="0.45">
      <c r="A1088">
        <v>1087</v>
      </c>
      <c r="B1088">
        <v>412</v>
      </c>
      <c r="C1088" t="s">
        <v>72</v>
      </c>
      <c r="D1088" t="s">
        <v>731</v>
      </c>
      <c r="E1088">
        <v>1100</v>
      </c>
      <c r="F1088" t="s">
        <v>80</v>
      </c>
      <c r="G1088" t="s">
        <v>78</v>
      </c>
      <c r="H1088" t="s">
        <v>218</v>
      </c>
      <c r="I1088">
        <v>103579.06</v>
      </c>
      <c r="J1088">
        <v>0</v>
      </c>
      <c r="K1088" t="s">
        <v>732</v>
      </c>
      <c r="L1088" t="s">
        <v>220</v>
      </c>
      <c r="N1088" t="s">
        <v>194</v>
      </c>
    </row>
    <row r="1089" spans="1:14" x14ac:dyDescent="0.45">
      <c r="A1089">
        <v>1088</v>
      </c>
      <c r="B1089">
        <v>412</v>
      </c>
      <c r="C1089" t="s">
        <v>72</v>
      </c>
      <c r="D1089" t="s">
        <v>731</v>
      </c>
      <c r="E1089">
        <v>4010</v>
      </c>
      <c r="F1089" t="s">
        <v>101</v>
      </c>
      <c r="G1089" t="s">
        <v>99</v>
      </c>
      <c r="H1089" t="s">
        <v>218</v>
      </c>
      <c r="I1089">
        <v>0</v>
      </c>
      <c r="J1089">
        <v>43503.21</v>
      </c>
      <c r="K1089" t="s">
        <v>732</v>
      </c>
      <c r="L1089" t="s">
        <v>220</v>
      </c>
      <c r="N1089" t="s">
        <v>194</v>
      </c>
    </row>
    <row r="1090" spans="1:14" x14ac:dyDescent="0.45">
      <c r="A1090">
        <v>1089</v>
      </c>
      <c r="B1090">
        <v>412</v>
      </c>
      <c r="C1090" t="s">
        <v>72</v>
      </c>
      <c r="D1090" t="s">
        <v>731</v>
      </c>
      <c r="E1090">
        <v>4020</v>
      </c>
      <c r="F1090" t="s">
        <v>103</v>
      </c>
      <c r="G1090" t="s">
        <v>99</v>
      </c>
      <c r="H1090" t="s">
        <v>218</v>
      </c>
      <c r="I1090">
        <v>0</v>
      </c>
      <c r="J1090">
        <v>34181.089999999997</v>
      </c>
      <c r="K1090" t="s">
        <v>732</v>
      </c>
      <c r="L1090" t="s">
        <v>220</v>
      </c>
      <c r="N1090" t="s">
        <v>194</v>
      </c>
    </row>
    <row r="1091" spans="1:14" x14ac:dyDescent="0.45">
      <c r="A1091">
        <v>1090</v>
      </c>
      <c r="B1091">
        <v>412</v>
      </c>
      <c r="C1091" t="s">
        <v>72</v>
      </c>
      <c r="D1091" t="s">
        <v>731</v>
      </c>
      <c r="E1091">
        <v>4030</v>
      </c>
      <c r="F1091" t="s">
        <v>105</v>
      </c>
      <c r="G1091" t="s">
        <v>99</v>
      </c>
      <c r="H1091" t="s">
        <v>218</v>
      </c>
      <c r="I1091">
        <v>0</v>
      </c>
      <c r="J1091">
        <v>25894.76</v>
      </c>
      <c r="K1091" t="s">
        <v>732</v>
      </c>
      <c r="L1091" t="s">
        <v>220</v>
      </c>
      <c r="N1091" t="s">
        <v>194</v>
      </c>
    </row>
    <row r="1092" spans="1:14" x14ac:dyDescent="0.45">
      <c r="A1092">
        <v>1091</v>
      </c>
      <c r="B1092">
        <v>413</v>
      </c>
      <c r="C1092" t="s">
        <v>72</v>
      </c>
      <c r="D1092" t="s">
        <v>733</v>
      </c>
      <c r="E1092">
        <v>1000</v>
      </c>
      <c r="F1092" t="s">
        <v>77</v>
      </c>
      <c r="G1092" t="s">
        <v>78</v>
      </c>
      <c r="H1092" t="s">
        <v>218</v>
      </c>
      <c r="I1092">
        <v>94813.45</v>
      </c>
      <c r="J1092">
        <v>0</v>
      </c>
      <c r="K1092" t="s">
        <v>734</v>
      </c>
      <c r="L1092" t="s">
        <v>223</v>
      </c>
      <c r="N1092" t="s">
        <v>194</v>
      </c>
    </row>
    <row r="1093" spans="1:14" x14ac:dyDescent="0.45">
      <c r="A1093">
        <v>1092</v>
      </c>
      <c r="B1093">
        <v>413</v>
      </c>
      <c r="C1093" t="s">
        <v>72</v>
      </c>
      <c r="D1093" t="s">
        <v>733</v>
      </c>
      <c r="E1093">
        <v>1100</v>
      </c>
      <c r="F1093" t="s">
        <v>80</v>
      </c>
      <c r="G1093" t="s">
        <v>78</v>
      </c>
      <c r="H1093" t="s">
        <v>218</v>
      </c>
      <c r="I1093">
        <v>0</v>
      </c>
      <c r="J1093">
        <v>94813.45</v>
      </c>
      <c r="K1093" t="s">
        <v>734</v>
      </c>
      <c r="L1093" t="s">
        <v>223</v>
      </c>
      <c r="N1093" t="s">
        <v>194</v>
      </c>
    </row>
    <row r="1094" spans="1:14" x14ac:dyDescent="0.45">
      <c r="A1094">
        <v>1093</v>
      </c>
      <c r="B1094">
        <v>414</v>
      </c>
      <c r="C1094" t="s">
        <v>72</v>
      </c>
      <c r="D1094" t="s">
        <v>735</v>
      </c>
      <c r="E1094">
        <v>5010</v>
      </c>
      <c r="F1094" t="s">
        <v>112</v>
      </c>
      <c r="G1094" t="s">
        <v>110</v>
      </c>
      <c r="H1094" t="s">
        <v>218</v>
      </c>
      <c r="I1094">
        <v>5882.61</v>
      </c>
      <c r="J1094">
        <v>0</v>
      </c>
      <c r="K1094" t="s">
        <v>736</v>
      </c>
      <c r="L1094" t="s">
        <v>226</v>
      </c>
      <c r="N1094" t="s">
        <v>194</v>
      </c>
    </row>
    <row r="1095" spans="1:14" x14ac:dyDescent="0.45">
      <c r="A1095">
        <v>1094</v>
      </c>
      <c r="B1095">
        <v>414</v>
      </c>
      <c r="C1095" t="s">
        <v>72</v>
      </c>
      <c r="D1095" t="s">
        <v>735</v>
      </c>
      <c r="E1095">
        <v>5020</v>
      </c>
      <c r="F1095" t="s">
        <v>114</v>
      </c>
      <c r="G1095" t="s">
        <v>110</v>
      </c>
      <c r="H1095" t="s">
        <v>218</v>
      </c>
      <c r="I1095">
        <v>4813.05</v>
      </c>
      <c r="J1095">
        <v>0</v>
      </c>
      <c r="K1095" t="s">
        <v>736</v>
      </c>
      <c r="L1095" t="s">
        <v>226</v>
      </c>
      <c r="N1095" t="s">
        <v>194</v>
      </c>
    </row>
    <row r="1096" spans="1:14" x14ac:dyDescent="0.45">
      <c r="A1096">
        <v>1095</v>
      </c>
      <c r="B1096">
        <v>414</v>
      </c>
      <c r="C1096" t="s">
        <v>72</v>
      </c>
      <c r="D1096" t="s">
        <v>735</v>
      </c>
      <c r="E1096">
        <v>1000</v>
      </c>
      <c r="F1096" t="s">
        <v>77</v>
      </c>
      <c r="G1096" t="s">
        <v>78</v>
      </c>
      <c r="H1096" t="s">
        <v>218</v>
      </c>
      <c r="I1096">
        <v>0</v>
      </c>
      <c r="J1096">
        <v>7486.96</v>
      </c>
      <c r="K1096" t="s">
        <v>736</v>
      </c>
      <c r="L1096" t="s">
        <v>226</v>
      </c>
      <c r="N1096" t="s">
        <v>194</v>
      </c>
    </row>
    <row r="1097" spans="1:14" x14ac:dyDescent="0.45">
      <c r="A1097">
        <v>1096</v>
      </c>
      <c r="B1097">
        <v>414</v>
      </c>
      <c r="C1097" t="s">
        <v>72</v>
      </c>
      <c r="D1097" t="s">
        <v>735</v>
      </c>
      <c r="E1097">
        <v>2000</v>
      </c>
      <c r="F1097" t="s">
        <v>88</v>
      </c>
      <c r="G1097" t="s">
        <v>89</v>
      </c>
      <c r="H1097" t="s">
        <v>218</v>
      </c>
      <c r="I1097">
        <v>0</v>
      </c>
      <c r="J1097">
        <v>3208.7</v>
      </c>
      <c r="K1097" t="s">
        <v>736</v>
      </c>
      <c r="L1097" t="s">
        <v>226</v>
      </c>
      <c r="N1097" t="s">
        <v>194</v>
      </c>
    </row>
    <row r="1098" spans="1:14" x14ac:dyDescent="0.45">
      <c r="A1098">
        <v>1097</v>
      </c>
      <c r="B1098">
        <v>415</v>
      </c>
      <c r="C1098" t="s">
        <v>72</v>
      </c>
      <c r="D1098" t="s">
        <v>737</v>
      </c>
      <c r="E1098">
        <v>6010</v>
      </c>
      <c r="F1098" t="s">
        <v>119</v>
      </c>
      <c r="G1098" t="s">
        <v>117</v>
      </c>
      <c r="H1098" t="s">
        <v>218</v>
      </c>
      <c r="I1098">
        <v>46412</v>
      </c>
      <c r="J1098">
        <v>0</v>
      </c>
      <c r="K1098" t="s">
        <v>738</v>
      </c>
      <c r="L1098" t="s">
        <v>229</v>
      </c>
      <c r="N1098" t="s">
        <v>194</v>
      </c>
    </row>
    <row r="1099" spans="1:14" x14ac:dyDescent="0.45">
      <c r="A1099">
        <v>1098</v>
      </c>
      <c r="B1099">
        <v>415</v>
      </c>
      <c r="C1099" t="s">
        <v>72</v>
      </c>
      <c r="D1099" t="s">
        <v>737</v>
      </c>
      <c r="E1099">
        <v>6020</v>
      </c>
      <c r="F1099" t="s">
        <v>121</v>
      </c>
      <c r="G1099" t="s">
        <v>117</v>
      </c>
      <c r="H1099" t="s">
        <v>218</v>
      </c>
      <c r="I1099">
        <v>6497.68</v>
      </c>
      <c r="J1099">
        <v>0</v>
      </c>
      <c r="K1099" t="s">
        <v>738</v>
      </c>
      <c r="L1099" t="s">
        <v>229</v>
      </c>
      <c r="N1099" t="s">
        <v>194</v>
      </c>
    </row>
    <row r="1100" spans="1:14" x14ac:dyDescent="0.45">
      <c r="A1100">
        <v>1099</v>
      </c>
      <c r="B1100">
        <v>415</v>
      </c>
      <c r="C1100" t="s">
        <v>72</v>
      </c>
      <c r="D1100" t="s">
        <v>737</v>
      </c>
      <c r="E1100">
        <v>1000</v>
      </c>
      <c r="F1100" t="s">
        <v>77</v>
      </c>
      <c r="G1100" t="s">
        <v>78</v>
      </c>
      <c r="H1100" t="s">
        <v>218</v>
      </c>
      <c r="I1100">
        <v>0</v>
      </c>
      <c r="J1100">
        <v>52853.59</v>
      </c>
      <c r="K1100" t="s">
        <v>738</v>
      </c>
      <c r="L1100" t="s">
        <v>229</v>
      </c>
      <c r="N1100" t="s">
        <v>194</v>
      </c>
    </row>
    <row r="1101" spans="1:14" x14ac:dyDescent="0.45">
      <c r="A1101">
        <v>1100</v>
      </c>
      <c r="B1101">
        <v>415</v>
      </c>
      <c r="C1101" t="s">
        <v>72</v>
      </c>
      <c r="D1101" t="s">
        <v>737</v>
      </c>
      <c r="E1101">
        <v>2100</v>
      </c>
      <c r="F1101" t="s">
        <v>91</v>
      </c>
      <c r="G1101" t="s">
        <v>89</v>
      </c>
      <c r="H1101" t="s">
        <v>218</v>
      </c>
      <c r="I1101">
        <v>0</v>
      </c>
      <c r="J1101">
        <v>5290.97</v>
      </c>
      <c r="K1101" t="s">
        <v>738</v>
      </c>
      <c r="L1101" t="s">
        <v>229</v>
      </c>
      <c r="N1101" t="s">
        <v>194</v>
      </c>
    </row>
    <row r="1102" spans="1:14" x14ac:dyDescent="0.45">
      <c r="A1102">
        <v>1101</v>
      </c>
      <c r="B1102">
        <v>415</v>
      </c>
      <c r="C1102" t="s">
        <v>72</v>
      </c>
      <c r="D1102" t="s">
        <v>737</v>
      </c>
      <c r="E1102">
        <v>2100</v>
      </c>
      <c r="F1102" t="s">
        <v>91</v>
      </c>
      <c r="G1102" t="s">
        <v>89</v>
      </c>
      <c r="H1102" t="s">
        <v>218</v>
      </c>
      <c r="I1102">
        <v>5234.88</v>
      </c>
      <c r="J1102">
        <v>0</v>
      </c>
      <c r="K1102" t="s">
        <v>738</v>
      </c>
      <c r="L1102" t="s">
        <v>229</v>
      </c>
      <c r="N1102" t="s">
        <v>194</v>
      </c>
    </row>
    <row r="1103" spans="1:14" x14ac:dyDescent="0.45">
      <c r="A1103">
        <v>1102</v>
      </c>
      <c r="B1103">
        <v>416</v>
      </c>
      <c r="C1103" t="s">
        <v>72</v>
      </c>
      <c r="D1103" t="s">
        <v>739</v>
      </c>
      <c r="E1103">
        <v>6030</v>
      </c>
      <c r="F1103" t="s">
        <v>123</v>
      </c>
      <c r="G1103" t="s">
        <v>117</v>
      </c>
      <c r="H1103" t="s">
        <v>218</v>
      </c>
      <c r="I1103">
        <v>7174</v>
      </c>
      <c r="J1103">
        <v>0</v>
      </c>
      <c r="K1103" t="s">
        <v>740</v>
      </c>
      <c r="L1103" t="s">
        <v>232</v>
      </c>
      <c r="N1103" t="s">
        <v>194</v>
      </c>
    </row>
    <row r="1104" spans="1:14" x14ac:dyDescent="0.45">
      <c r="A1104">
        <v>1103</v>
      </c>
      <c r="B1104">
        <v>416</v>
      </c>
      <c r="C1104" t="s">
        <v>72</v>
      </c>
      <c r="D1104" t="s">
        <v>739</v>
      </c>
      <c r="E1104">
        <v>1000</v>
      </c>
      <c r="F1104" t="s">
        <v>77</v>
      </c>
      <c r="G1104" t="s">
        <v>78</v>
      </c>
      <c r="H1104" t="s">
        <v>218</v>
      </c>
      <c r="I1104">
        <v>0</v>
      </c>
      <c r="J1104">
        <v>7174</v>
      </c>
      <c r="K1104" t="s">
        <v>740</v>
      </c>
      <c r="L1104" t="s">
        <v>232</v>
      </c>
      <c r="N1104" t="s">
        <v>194</v>
      </c>
    </row>
    <row r="1105" spans="1:14" x14ac:dyDescent="0.45">
      <c r="A1105">
        <v>1104</v>
      </c>
      <c r="B1105">
        <v>417</v>
      </c>
      <c r="C1105" t="s">
        <v>72</v>
      </c>
      <c r="D1105" t="s">
        <v>741</v>
      </c>
      <c r="E1105">
        <v>6040</v>
      </c>
      <c r="F1105" t="s">
        <v>125</v>
      </c>
      <c r="G1105" t="s">
        <v>117</v>
      </c>
      <c r="H1105" t="s">
        <v>218</v>
      </c>
      <c r="I1105">
        <v>3182.64</v>
      </c>
      <c r="J1105">
        <v>0</v>
      </c>
      <c r="K1105" t="s">
        <v>742</v>
      </c>
      <c r="L1105" t="s">
        <v>226</v>
      </c>
      <c r="N1105" t="s">
        <v>194</v>
      </c>
    </row>
    <row r="1106" spans="1:14" x14ac:dyDescent="0.45">
      <c r="A1106">
        <v>1105</v>
      </c>
      <c r="B1106">
        <v>417</v>
      </c>
      <c r="C1106" t="s">
        <v>72</v>
      </c>
      <c r="D1106" t="s">
        <v>741</v>
      </c>
      <c r="E1106">
        <v>1000</v>
      </c>
      <c r="F1106" t="s">
        <v>77</v>
      </c>
      <c r="G1106" t="s">
        <v>78</v>
      </c>
      <c r="H1106" t="s">
        <v>218</v>
      </c>
      <c r="I1106">
        <v>0</v>
      </c>
      <c r="J1106">
        <v>2546.11</v>
      </c>
      <c r="K1106" t="s">
        <v>742</v>
      </c>
      <c r="L1106" t="s">
        <v>226</v>
      </c>
      <c r="N1106" t="s">
        <v>194</v>
      </c>
    </row>
    <row r="1107" spans="1:14" x14ac:dyDescent="0.45">
      <c r="A1107">
        <v>1106</v>
      </c>
      <c r="B1107">
        <v>417</v>
      </c>
      <c r="C1107" t="s">
        <v>72</v>
      </c>
      <c r="D1107" t="s">
        <v>741</v>
      </c>
      <c r="E1107">
        <v>2000</v>
      </c>
      <c r="F1107" t="s">
        <v>88</v>
      </c>
      <c r="G1107" t="s">
        <v>89</v>
      </c>
      <c r="H1107" t="s">
        <v>218</v>
      </c>
      <c r="I1107">
        <v>0</v>
      </c>
      <c r="J1107">
        <v>636.53</v>
      </c>
      <c r="K1107" t="s">
        <v>742</v>
      </c>
      <c r="L1107" t="s">
        <v>226</v>
      </c>
      <c r="N1107" t="s">
        <v>194</v>
      </c>
    </row>
    <row r="1108" spans="1:14" x14ac:dyDescent="0.45">
      <c r="A1108">
        <v>1107</v>
      </c>
      <c r="B1108">
        <v>418</v>
      </c>
      <c r="C1108" t="s">
        <v>72</v>
      </c>
      <c r="D1108" t="s">
        <v>739</v>
      </c>
      <c r="E1108">
        <v>6050</v>
      </c>
      <c r="F1108" t="s">
        <v>127</v>
      </c>
      <c r="G1108" t="s">
        <v>117</v>
      </c>
      <c r="H1108" t="s">
        <v>218</v>
      </c>
      <c r="I1108">
        <v>1450</v>
      </c>
      <c r="J1108">
        <v>0</v>
      </c>
      <c r="K1108" t="s">
        <v>743</v>
      </c>
      <c r="L1108" t="s">
        <v>236</v>
      </c>
      <c r="N1108" t="s">
        <v>194</v>
      </c>
    </row>
    <row r="1109" spans="1:14" x14ac:dyDescent="0.45">
      <c r="A1109">
        <v>1108</v>
      </c>
      <c r="B1109">
        <v>418</v>
      </c>
      <c r="C1109" t="s">
        <v>72</v>
      </c>
      <c r="D1109" t="s">
        <v>739</v>
      </c>
      <c r="E1109">
        <v>1200</v>
      </c>
      <c r="F1109" t="s">
        <v>82</v>
      </c>
      <c r="G1109" t="s">
        <v>78</v>
      </c>
      <c r="H1109" t="s">
        <v>218</v>
      </c>
      <c r="I1109">
        <v>0</v>
      </c>
      <c r="J1109">
        <v>1450</v>
      </c>
      <c r="K1109" t="s">
        <v>743</v>
      </c>
      <c r="L1109" t="s">
        <v>236</v>
      </c>
      <c r="N1109" t="s">
        <v>194</v>
      </c>
    </row>
    <row r="1110" spans="1:14" x14ac:dyDescent="0.45">
      <c r="A1110">
        <v>1109</v>
      </c>
      <c r="B1110">
        <v>419</v>
      </c>
      <c r="C1110" t="s">
        <v>72</v>
      </c>
      <c r="D1110" t="s">
        <v>744</v>
      </c>
      <c r="E1110">
        <v>6060</v>
      </c>
      <c r="F1110" t="s">
        <v>129</v>
      </c>
      <c r="G1110" t="s">
        <v>117</v>
      </c>
      <c r="H1110" t="s">
        <v>218</v>
      </c>
      <c r="I1110">
        <v>2331</v>
      </c>
      <c r="J1110">
        <v>0</v>
      </c>
      <c r="K1110" t="s">
        <v>745</v>
      </c>
      <c r="L1110" t="s">
        <v>232</v>
      </c>
      <c r="N1110" t="s">
        <v>194</v>
      </c>
    </row>
    <row r="1111" spans="1:14" x14ac:dyDescent="0.45">
      <c r="A1111">
        <v>1110</v>
      </c>
      <c r="B1111">
        <v>419</v>
      </c>
      <c r="C1111" t="s">
        <v>72</v>
      </c>
      <c r="D1111" t="s">
        <v>744</v>
      </c>
      <c r="E1111">
        <v>1000</v>
      </c>
      <c r="F1111" t="s">
        <v>77</v>
      </c>
      <c r="G1111" t="s">
        <v>78</v>
      </c>
      <c r="H1111" t="s">
        <v>218</v>
      </c>
      <c r="I1111">
        <v>0</v>
      </c>
      <c r="J1111">
        <v>2331</v>
      </c>
      <c r="K1111" t="s">
        <v>745</v>
      </c>
      <c r="L1111" t="s">
        <v>232</v>
      </c>
      <c r="N1111" t="s">
        <v>194</v>
      </c>
    </row>
    <row r="1112" spans="1:14" x14ac:dyDescent="0.45">
      <c r="A1112">
        <v>1111</v>
      </c>
      <c r="B1112">
        <v>420</v>
      </c>
      <c r="C1112" t="s">
        <v>72</v>
      </c>
      <c r="D1112" t="s">
        <v>746</v>
      </c>
      <c r="E1112">
        <v>7000</v>
      </c>
      <c r="F1112" t="s">
        <v>133</v>
      </c>
      <c r="G1112" t="s">
        <v>117</v>
      </c>
      <c r="H1112" t="s">
        <v>218</v>
      </c>
      <c r="I1112">
        <v>1100</v>
      </c>
      <c r="J1112">
        <v>0</v>
      </c>
      <c r="K1112" t="s">
        <v>747</v>
      </c>
      <c r="L1112" t="s">
        <v>241</v>
      </c>
      <c r="N1112" t="s">
        <v>194</v>
      </c>
    </row>
    <row r="1113" spans="1:14" x14ac:dyDescent="0.45">
      <c r="A1113">
        <v>1112</v>
      </c>
      <c r="B1113">
        <v>420</v>
      </c>
      <c r="C1113" t="s">
        <v>72</v>
      </c>
      <c r="D1113" t="s">
        <v>746</v>
      </c>
      <c r="E1113">
        <v>1500</v>
      </c>
      <c r="F1113" t="s">
        <v>86</v>
      </c>
      <c r="G1113" t="s">
        <v>78</v>
      </c>
      <c r="H1113" t="s">
        <v>218</v>
      </c>
      <c r="I1113">
        <v>0</v>
      </c>
      <c r="J1113">
        <v>1100</v>
      </c>
      <c r="K1113" t="s">
        <v>747</v>
      </c>
      <c r="L1113" t="s">
        <v>241</v>
      </c>
      <c r="N1113" t="s">
        <v>194</v>
      </c>
    </row>
    <row r="1114" spans="1:14" x14ac:dyDescent="0.45">
      <c r="A1114">
        <v>1113</v>
      </c>
      <c r="B1114">
        <v>421</v>
      </c>
      <c r="C1114" t="s">
        <v>72</v>
      </c>
      <c r="D1114" t="s">
        <v>748</v>
      </c>
      <c r="E1114">
        <v>2000</v>
      </c>
      <c r="F1114" t="s">
        <v>88</v>
      </c>
      <c r="G1114" t="s">
        <v>89</v>
      </c>
      <c r="H1114" t="s">
        <v>218</v>
      </c>
      <c r="I1114">
        <v>4062.99</v>
      </c>
      <c r="J1114">
        <v>0</v>
      </c>
      <c r="K1114" t="s">
        <v>749</v>
      </c>
      <c r="L1114" t="s">
        <v>232</v>
      </c>
      <c r="N1114" t="s">
        <v>194</v>
      </c>
    </row>
    <row r="1115" spans="1:14" x14ac:dyDescent="0.45">
      <c r="A1115">
        <v>1114</v>
      </c>
      <c r="B1115">
        <v>421</v>
      </c>
      <c r="C1115" t="s">
        <v>72</v>
      </c>
      <c r="D1115" t="s">
        <v>748</v>
      </c>
      <c r="E1115">
        <v>1000</v>
      </c>
      <c r="F1115" t="s">
        <v>77</v>
      </c>
      <c r="G1115" t="s">
        <v>78</v>
      </c>
      <c r="H1115" t="s">
        <v>218</v>
      </c>
      <c r="I1115">
        <v>0</v>
      </c>
      <c r="J1115">
        <v>4062.99</v>
      </c>
      <c r="K1115" t="s">
        <v>749</v>
      </c>
      <c r="L1115" t="s">
        <v>232</v>
      </c>
      <c r="N1115" t="s">
        <v>194</v>
      </c>
    </row>
    <row r="1116" spans="1:14" x14ac:dyDescent="0.45">
      <c r="A1116">
        <v>1115</v>
      </c>
      <c r="B1116">
        <v>422</v>
      </c>
      <c r="C1116" t="s">
        <v>73</v>
      </c>
      <c r="D1116" t="s">
        <v>731</v>
      </c>
      <c r="E1116">
        <v>1100</v>
      </c>
      <c r="F1116" t="s">
        <v>80</v>
      </c>
      <c r="G1116" t="s">
        <v>78</v>
      </c>
      <c r="H1116" t="s">
        <v>218</v>
      </c>
      <c r="I1116">
        <v>67103.429999999993</v>
      </c>
      <c r="J1116">
        <v>0</v>
      </c>
      <c r="K1116" t="s">
        <v>750</v>
      </c>
      <c r="L1116" t="s">
        <v>220</v>
      </c>
      <c r="N1116" t="s">
        <v>194</v>
      </c>
    </row>
    <row r="1117" spans="1:14" x14ac:dyDescent="0.45">
      <c r="A1117">
        <v>1116</v>
      </c>
      <c r="B1117">
        <v>422</v>
      </c>
      <c r="C1117" t="s">
        <v>73</v>
      </c>
      <c r="D1117" t="s">
        <v>731</v>
      </c>
      <c r="E1117">
        <v>4010</v>
      </c>
      <c r="F1117" t="s">
        <v>101</v>
      </c>
      <c r="G1117" t="s">
        <v>99</v>
      </c>
      <c r="H1117" t="s">
        <v>218</v>
      </c>
      <c r="I1117">
        <v>0</v>
      </c>
      <c r="J1117">
        <v>28183.439999999999</v>
      </c>
      <c r="K1117" t="s">
        <v>750</v>
      </c>
      <c r="L1117" t="s">
        <v>220</v>
      </c>
      <c r="N1117" t="s">
        <v>194</v>
      </c>
    </row>
    <row r="1118" spans="1:14" x14ac:dyDescent="0.45">
      <c r="A1118">
        <v>1117</v>
      </c>
      <c r="B1118">
        <v>422</v>
      </c>
      <c r="C1118" t="s">
        <v>73</v>
      </c>
      <c r="D1118" t="s">
        <v>731</v>
      </c>
      <c r="E1118">
        <v>4020</v>
      </c>
      <c r="F1118" t="s">
        <v>103</v>
      </c>
      <c r="G1118" t="s">
        <v>99</v>
      </c>
      <c r="H1118" t="s">
        <v>218</v>
      </c>
      <c r="I1118">
        <v>0</v>
      </c>
      <c r="J1118">
        <v>22144.13</v>
      </c>
      <c r="K1118" t="s">
        <v>750</v>
      </c>
      <c r="L1118" t="s">
        <v>220</v>
      </c>
      <c r="N1118" t="s">
        <v>194</v>
      </c>
    </row>
    <row r="1119" spans="1:14" x14ac:dyDescent="0.45">
      <c r="A1119">
        <v>1118</v>
      </c>
      <c r="B1119">
        <v>422</v>
      </c>
      <c r="C1119" t="s">
        <v>73</v>
      </c>
      <c r="D1119" t="s">
        <v>731</v>
      </c>
      <c r="E1119">
        <v>4030</v>
      </c>
      <c r="F1119" t="s">
        <v>105</v>
      </c>
      <c r="G1119" t="s">
        <v>99</v>
      </c>
      <c r="H1119" t="s">
        <v>218</v>
      </c>
      <c r="I1119">
        <v>0</v>
      </c>
      <c r="J1119">
        <v>16775.86</v>
      </c>
      <c r="K1119" t="s">
        <v>750</v>
      </c>
      <c r="L1119" t="s">
        <v>220</v>
      </c>
      <c r="N1119" t="s">
        <v>194</v>
      </c>
    </row>
    <row r="1120" spans="1:14" x14ac:dyDescent="0.45">
      <c r="A1120">
        <v>1119</v>
      </c>
      <c r="B1120">
        <v>423</v>
      </c>
      <c r="C1120" t="s">
        <v>73</v>
      </c>
      <c r="D1120" t="s">
        <v>733</v>
      </c>
      <c r="E1120">
        <v>1000</v>
      </c>
      <c r="F1120" t="s">
        <v>77</v>
      </c>
      <c r="G1120" t="s">
        <v>78</v>
      </c>
      <c r="H1120" t="s">
        <v>218</v>
      </c>
      <c r="I1120">
        <v>62662.77</v>
      </c>
      <c r="J1120">
        <v>0</v>
      </c>
      <c r="K1120" t="s">
        <v>751</v>
      </c>
      <c r="L1120" t="s">
        <v>223</v>
      </c>
      <c r="N1120" t="s">
        <v>194</v>
      </c>
    </row>
    <row r="1121" spans="1:14" x14ac:dyDescent="0.45">
      <c r="A1121">
        <v>1120</v>
      </c>
      <c r="B1121">
        <v>423</v>
      </c>
      <c r="C1121" t="s">
        <v>73</v>
      </c>
      <c r="D1121" t="s">
        <v>733</v>
      </c>
      <c r="E1121">
        <v>1100</v>
      </c>
      <c r="F1121" t="s">
        <v>80</v>
      </c>
      <c r="G1121" t="s">
        <v>78</v>
      </c>
      <c r="H1121" t="s">
        <v>218</v>
      </c>
      <c r="I1121">
        <v>0</v>
      </c>
      <c r="J1121">
        <v>62662.77</v>
      </c>
      <c r="K1121" t="s">
        <v>751</v>
      </c>
      <c r="L1121" t="s">
        <v>223</v>
      </c>
      <c r="N1121" t="s">
        <v>194</v>
      </c>
    </row>
    <row r="1122" spans="1:14" x14ac:dyDescent="0.45">
      <c r="A1122">
        <v>1121</v>
      </c>
      <c r="B1122">
        <v>424</v>
      </c>
      <c r="C1122" t="s">
        <v>73</v>
      </c>
      <c r="D1122" t="s">
        <v>735</v>
      </c>
      <c r="E1122">
        <v>5010</v>
      </c>
      <c r="F1122" t="s">
        <v>112</v>
      </c>
      <c r="G1122" t="s">
        <v>110</v>
      </c>
      <c r="H1122" t="s">
        <v>218</v>
      </c>
      <c r="I1122">
        <v>3811.04</v>
      </c>
      <c r="J1122">
        <v>0</v>
      </c>
      <c r="K1122" t="s">
        <v>752</v>
      </c>
      <c r="L1122" t="s">
        <v>226</v>
      </c>
      <c r="N1122" t="s">
        <v>194</v>
      </c>
    </row>
    <row r="1123" spans="1:14" x14ac:dyDescent="0.45">
      <c r="A1123">
        <v>1122</v>
      </c>
      <c r="B1123">
        <v>424</v>
      </c>
      <c r="C1123" t="s">
        <v>73</v>
      </c>
      <c r="D1123" t="s">
        <v>735</v>
      </c>
      <c r="E1123">
        <v>5020</v>
      </c>
      <c r="F1123" t="s">
        <v>114</v>
      </c>
      <c r="G1123" t="s">
        <v>110</v>
      </c>
      <c r="H1123" t="s">
        <v>218</v>
      </c>
      <c r="I1123">
        <v>3118.12</v>
      </c>
      <c r="J1123">
        <v>0</v>
      </c>
      <c r="K1123" t="s">
        <v>752</v>
      </c>
      <c r="L1123" t="s">
        <v>226</v>
      </c>
      <c r="N1123" t="s">
        <v>194</v>
      </c>
    </row>
    <row r="1124" spans="1:14" x14ac:dyDescent="0.45">
      <c r="A1124">
        <v>1123</v>
      </c>
      <c r="B1124">
        <v>424</v>
      </c>
      <c r="C1124" t="s">
        <v>73</v>
      </c>
      <c r="D1124" t="s">
        <v>735</v>
      </c>
      <c r="E1124">
        <v>1000</v>
      </c>
      <c r="F1124" t="s">
        <v>77</v>
      </c>
      <c r="G1124" t="s">
        <v>78</v>
      </c>
      <c r="H1124" t="s">
        <v>218</v>
      </c>
      <c r="I1124">
        <v>0</v>
      </c>
      <c r="J1124">
        <v>4850.41</v>
      </c>
      <c r="K1124" t="s">
        <v>752</v>
      </c>
      <c r="L1124" t="s">
        <v>226</v>
      </c>
      <c r="N1124" t="s">
        <v>194</v>
      </c>
    </row>
    <row r="1125" spans="1:14" x14ac:dyDescent="0.45">
      <c r="A1125">
        <v>1124</v>
      </c>
      <c r="B1125">
        <v>424</v>
      </c>
      <c r="C1125" t="s">
        <v>73</v>
      </c>
      <c r="D1125" t="s">
        <v>735</v>
      </c>
      <c r="E1125">
        <v>2000</v>
      </c>
      <c r="F1125" t="s">
        <v>88</v>
      </c>
      <c r="G1125" t="s">
        <v>89</v>
      </c>
      <c r="H1125" t="s">
        <v>218</v>
      </c>
      <c r="I1125">
        <v>0</v>
      </c>
      <c r="J1125">
        <v>2078.75</v>
      </c>
      <c r="K1125" t="s">
        <v>752</v>
      </c>
      <c r="L1125" t="s">
        <v>226</v>
      </c>
      <c r="N1125" t="s">
        <v>194</v>
      </c>
    </row>
    <row r="1126" spans="1:14" x14ac:dyDescent="0.45">
      <c r="A1126">
        <v>1125</v>
      </c>
      <c r="B1126">
        <v>425</v>
      </c>
      <c r="C1126" t="s">
        <v>73</v>
      </c>
      <c r="D1126" t="s">
        <v>737</v>
      </c>
      <c r="E1126">
        <v>6010</v>
      </c>
      <c r="F1126" t="s">
        <v>119</v>
      </c>
      <c r="G1126" t="s">
        <v>117</v>
      </c>
      <c r="H1126" t="s">
        <v>218</v>
      </c>
      <c r="I1126">
        <v>28775.439999999999</v>
      </c>
      <c r="J1126">
        <v>0</v>
      </c>
      <c r="K1126" t="s">
        <v>753</v>
      </c>
      <c r="L1126" t="s">
        <v>229</v>
      </c>
      <c r="N1126" t="s">
        <v>194</v>
      </c>
    </row>
    <row r="1127" spans="1:14" x14ac:dyDescent="0.45">
      <c r="A1127">
        <v>1126</v>
      </c>
      <c r="B1127">
        <v>425</v>
      </c>
      <c r="C1127" t="s">
        <v>73</v>
      </c>
      <c r="D1127" t="s">
        <v>737</v>
      </c>
      <c r="E1127">
        <v>6020</v>
      </c>
      <c r="F1127" t="s">
        <v>121</v>
      </c>
      <c r="G1127" t="s">
        <v>117</v>
      </c>
      <c r="H1127" t="s">
        <v>218</v>
      </c>
      <c r="I1127">
        <v>4028.56</v>
      </c>
      <c r="J1127">
        <v>0</v>
      </c>
      <c r="K1127" t="s">
        <v>753</v>
      </c>
      <c r="L1127" t="s">
        <v>229</v>
      </c>
      <c r="N1127" t="s">
        <v>194</v>
      </c>
    </row>
    <row r="1128" spans="1:14" x14ac:dyDescent="0.45">
      <c r="A1128">
        <v>1127</v>
      </c>
      <c r="B1128">
        <v>425</v>
      </c>
      <c r="C1128" t="s">
        <v>73</v>
      </c>
      <c r="D1128" t="s">
        <v>737</v>
      </c>
      <c r="E1128">
        <v>1000</v>
      </c>
      <c r="F1128" t="s">
        <v>77</v>
      </c>
      <c r="G1128" t="s">
        <v>78</v>
      </c>
      <c r="H1128" t="s">
        <v>218</v>
      </c>
      <c r="I1128">
        <v>0</v>
      </c>
      <c r="J1128">
        <v>32769.230000000003</v>
      </c>
      <c r="K1128" t="s">
        <v>753</v>
      </c>
      <c r="L1128" t="s">
        <v>229</v>
      </c>
      <c r="N1128" t="s">
        <v>194</v>
      </c>
    </row>
    <row r="1129" spans="1:14" x14ac:dyDescent="0.45">
      <c r="A1129">
        <v>1128</v>
      </c>
      <c r="B1129">
        <v>425</v>
      </c>
      <c r="C1129" t="s">
        <v>73</v>
      </c>
      <c r="D1129" t="s">
        <v>737</v>
      </c>
      <c r="E1129">
        <v>2100</v>
      </c>
      <c r="F1129" t="s">
        <v>91</v>
      </c>
      <c r="G1129" t="s">
        <v>89</v>
      </c>
      <c r="H1129" t="s">
        <v>218</v>
      </c>
      <c r="I1129">
        <v>0</v>
      </c>
      <c r="J1129">
        <v>3280.4</v>
      </c>
      <c r="K1129" t="s">
        <v>753</v>
      </c>
      <c r="L1129" t="s">
        <v>229</v>
      </c>
      <c r="N1129" t="s">
        <v>194</v>
      </c>
    </row>
    <row r="1130" spans="1:14" x14ac:dyDescent="0.45">
      <c r="A1130">
        <v>1129</v>
      </c>
      <c r="B1130">
        <v>425</v>
      </c>
      <c r="C1130" t="s">
        <v>73</v>
      </c>
      <c r="D1130" t="s">
        <v>737</v>
      </c>
      <c r="E1130">
        <v>2100</v>
      </c>
      <c r="F1130" t="s">
        <v>91</v>
      </c>
      <c r="G1130" t="s">
        <v>89</v>
      </c>
      <c r="H1130" t="s">
        <v>218</v>
      </c>
      <c r="I1130">
        <v>3245.63</v>
      </c>
      <c r="J1130">
        <v>0</v>
      </c>
      <c r="K1130" t="s">
        <v>753</v>
      </c>
      <c r="L1130" t="s">
        <v>229</v>
      </c>
      <c r="N1130" t="s">
        <v>194</v>
      </c>
    </row>
    <row r="1131" spans="1:14" x14ac:dyDescent="0.45">
      <c r="A1131">
        <v>1130</v>
      </c>
      <c r="B1131">
        <v>426</v>
      </c>
      <c r="C1131" t="s">
        <v>73</v>
      </c>
      <c r="D1131" t="s">
        <v>739</v>
      </c>
      <c r="E1131">
        <v>6030</v>
      </c>
      <c r="F1131" t="s">
        <v>123</v>
      </c>
      <c r="G1131" t="s">
        <v>117</v>
      </c>
      <c r="H1131" t="s">
        <v>218</v>
      </c>
      <c r="I1131">
        <v>4447.88</v>
      </c>
      <c r="J1131">
        <v>0</v>
      </c>
      <c r="K1131" t="s">
        <v>754</v>
      </c>
      <c r="L1131" t="s">
        <v>232</v>
      </c>
      <c r="N1131" t="s">
        <v>194</v>
      </c>
    </row>
    <row r="1132" spans="1:14" x14ac:dyDescent="0.45">
      <c r="A1132">
        <v>1131</v>
      </c>
      <c r="B1132">
        <v>426</v>
      </c>
      <c r="C1132" t="s">
        <v>73</v>
      </c>
      <c r="D1132" t="s">
        <v>739</v>
      </c>
      <c r="E1132">
        <v>1000</v>
      </c>
      <c r="F1132" t="s">
        <v>77</v>
      </c>
      <c r="G1132" t="s">
        <v>78</v>
      </c>
      <c r="H1132" t="s">
        <v>218</v>
      </c>
      <c r="I1132">
        <v>0</v>
      </c>
      <c r="J1132">
        <v>4447.88</v>
      </c>
      <c r="K1132" t="s">
        <v>754</v>
      </c>
      <c r="L1132" t="s">
        <v>232</v>
      </c>
      <c r="N1132" t="s">
        <v>194</v>
      </c>
    </row>
    <row r="1133" spans="1:14" x14ac:dyDescent="0.45">
      <c r="A1133">
        <v>1132</v>
      </c>
      <c r="B1133">
        <v>427</v>
      </c>
      <c r="C1133" t="s">
        <v>73</v>
      </c>
      <c r="D1133" t="s">
        <v>741</v>
      </c>
      <c r="E1133">
        <v>6040</v>
      </c>
      <c r="F1133" t="s">
        <v>125</v>
      </c>
      <c r="G1133" t="s">
        <v>117</v>
      </c>
      <c r="H1133" t="s">
        <v>218</v>
      </c>
      <c r="I1133">
        <v>2061.87</v>
      </c>
      <c r="J1133">
        <v>0</v>
      </c>
      <c r="K1133" t="s">
        <v>755</v>
      </c>
      <c r="L1133" t="s">
        <v>226</v>
      </c>
      <c r="N1133" t="s">
        <v>194</v>
      </c>
    </row>
    <row r="1134" spans="1:14" x14ac:dyDescent="0.45">
      <c r="A1134">
        <v>1133</v>
      </c>
      <c r="B1134">
        <v>427</v>
      </c>
      <c r="C1134" t="s">
        <v>73</v>
      </c>
      <c r="D1134" t="s">
        <v>741</v>
      </c>
      <c r="E1134">
        <v>1000</v>
      </c>
      <c r="F1134" t="s">
        <v>77</v>
      </c>
      <c r="G1134" t="s">
        <v>78</v>
      </c>
      <c r="H1134" t="s">
        <v>218</v>
      </c>
      <c r="I1134">
        <v>0</v>
      </c>
      <c r="J1134">
        <v>1649.5</v>
      </c>
      <c r="K1134" t="s">
        <v>755</v>
      </c>
      <c r="L1134" t="s">
        <v>226</v>
      </c>
      <c r="N1134" t="s">
        <v>194</v>
      </c>
    </row>
    <row r="1135" spans="1:14" x14ac:dyDescent="0.45">
      <c r="A1135">
        <v>1134</v>
      </c>
      <c r="B1135">
        <v>427</v>
      </c>
      <c r="C1135" t="s">
        <v>73</v>
      </c>
      <c r="D1135" t="s">
        <v>741</v>
      </c>
      <c r="E1135">
        <v>2000</v>
      </c>
      <c r="F1135" t="s">
        <v>88</v>
      </c>
      <c r="G1135" t="s">
        <v>89</v>
      </c>
      <c r="H1135" t="s">
        <v>218</v>
      </c>
      <c r="I1135">
        <v>0</v>
      </c>
      <c r="J1135">
        <v>412.37</v>
      </c>
      <c r="K1135" t="s">
        <v>755</v>
      </c>
      <c r="L1135" t="s">
        <v>226</v>
      </c>
      <c r="N1135" t="s">
        <v>194</v>
      </c>
    </row>
    <row r="1136" spans="1:14" x14ac:dyDescent="0.45">
      <c r="A1136">
        <v>1135</v>
      </c>
      <c r="B1136">
        <v>428</v>
      </c>
      <c r="C1136" t="s">
        <v>73</v>
      </c>
      <c r="D1136" t="s">
        <v>739</v>
      </c>
      <c r="E1136">
        <v>6050</v>
      </c>
      <c r="F1136" t="s">
        <v>127</v>
      </c>
      <c r="G1136" t="s">
        <v>117</v>
      </c>
      <c r="H1136" t="s">
        <v>218</v>
      </c>
      <c r="I1136">
        <v>899</v>
      </c>
      <c r="J1136">
        <v>0</v>
      </c>
      <c r="K1136" t="s">
        <v>756</v>
      </c>
      <c r="L1136" t="s">
        <v>236</v>
      </c>
      <c r="N1136" t="s">
        <v>194</v>
      </c>
    </row>
    <row r="1137" spans="1:14" x14ac:dyDescent="0.45">
      <c r="A1137">
        <v>1136</v>
      </c>
      <c r="B1137">
        <v>428</v>
      </c>
      <c r="C1137" t="s">
        <v>73</v>
      </c>
      <c r="D1137" t="s">
        <v>739</v>
      </c>
      <c r="E1137">
        <v>1200</v>
      </c>
      <c r="F1137" t="s">
        <v>82</v>
      </c>
      <c r="G1137" t="s">
        <v>78</v>
      </c>
      <c r="H1137" t="s">
        <v>218</v>
      </c>
      <c r="I1137">
        <v>0</v>
      </c>
      <c r="J1137">
        <v>899</v>
      </c>
      <c r="K1137" t="s">
        <v>756</v>
      </c>
      <c r="L1137" t="s">
        <v>236</v>
      </c>
      <c r="N1137" t="s">
        <v>194</v>
      </c>
    </row>
    <row r="1138" spans="1:14" x14ac:dyDescent="0.45">
      <c r="A1138">
        <v>1137</v>
      </c>
      <c r="B1138">
        <v>429</v>
      </c>
      <c r="C1138" t="s">
        <v>73</v>
      </c>
      <c r="D1138" t="s">
        <v>744</v>
      </c>
      <c r="E1138">
        <v>6060</v>
      </c>
      <c r="F1138" t="s">
        <v>129</v>
      </c>
      <c r="G1138" t="s">
        <v>117</v>
      </c>
      <c r="H1138" t="s">
        <v>218</v>
      </c>
      <c r="I1138">
        <v>1445.22</v>
      </c>
      <c r="J1138">
        <v>0</v>
      </c>
      <c r="K1138" t="s">
        <v>757</v>
      </c>
      <c r="L1138" t="s">
        <v>232</v>
      </c>
      <c r="N1138" t="s">
        <v>194</v>
      </c>
    </row>
    <row r="1139" spans="1:14" x14ac:dyDescent="0.45">
      <c r="A1139">
        <v>1138</v>
      </c>
      <c r="B1139">
        <v>429</v>
      </c>
      <c r="C1139" t="s">
        <v>73</v>
      </c>
      <c r="D1139" t="s">
        <v>744</v>
      </c>
      <c r="E1139">
        <v>1000</v>
      </c>
      <c r="F1139" t="s">
        <v>77</v>
      </c>
      <c r="G1139" t="s">
        <v>78</v>
      </c>
      <c r="H1139" t="s">
        <v>218</v>
      </c>
      <c r="I1139">
        <v>0</v>
      </c>
      <c r="J1139">
        <v>1445.22</v>
      </c>
      <c r="K1139" t="s">
        <v>757</v>
      </c>
      <c r="L1139" t="s">
        <v>232</v>
      </c>
      <c r="N1139" t="s">
        <v>194</v>
      </c>
    </row>
    <row r="1140" spans="1:14" x14ac:dyDescent="0.45">
      <c r="A1140">
        <v>1139</v>
      </c>
      <c r="B1140">
        <v>430</v>
      </c>
      <c r="C1140" t="s">
        <v>73</v>
      </c>
      <c r="D1140" t="s">
        <v>746</v>
      </c>
      <c r="E1140">
        <v>7000</v>
      </c>
      <c r="F1140" t="s">
        <v>133</v>
      </c>
      <c r="G1140" t="s">
        <v>117</v>
      </c>
      <c r="H1140" t="s">
        <v>218</v>
      </c>
      <c r="I1140">
        <v>682</v>
      </c>
      <c r="J1140">
        <v>0</v>
      </c>
      <c r="K1140" t="s">
        <v>758</v>
      </c>
      <c r="L1140" t="s">
        <v>241</v>
      </c>
      <c r="N1140" t="s">
        <v>194</v>
      </c>
    </row>
    <row r="1141" spans="1:14" x14ac:dyDescent="0.45">
      <c r="A1141">
        <v>1140</v>
      </c>
      <c r="B1141">
        <v>430</v>
      </c>
      <c r="C1141" t="s">
        <v>73</v>
      </c>
      <c r="D1141" t="s">
        <v>746</v>
      </c>
      <c r="E1141">
        <v>1500</v>
      </c>
      <c r="F1141" t="s">
        <v>86</v>
      </c>
      <c r="G1141" t="s">
        <v>78</v>
      </c>
      <c r="H1141" t="s">
        <v>218</v>
      </c>
      <c r="I1141">
        <v>0</v>
      </c>
      <c r="J1141">
        <v>682</v>
      </c>
      <c r="K1141" t="s">
        <v>758</v>
      </c>
      <c r="L1141" t="s">
        <v>241</v>
      </c>
      <c r="N1141" t="s">
        <v>194</v>
      </c>
    </row>
    <row r="1142" spans="1:14" x14ac:dyDescent="0.45">
      <c r="A1142">
        <v>1141</v>
      </c>
      <c r="B1142">
        <v>431</v>
      </c>
      <c r="C1142" t="s">
        <v>73</v>
      </c>
      <c r="D1142" t="s">
        <v>748</v>
      </c>
      <c r="E1142">
        <v>2000</v>
      </c>
      <c r="F1142" t="s">
        <v>88</v>
      </c>
      <c r="G1142" t="s">
        <v>89</v>
      </c>
      <c r="H1142" t="s">
        <v>218</v>
      </c>
      <c r="I1142">
        <v>2526.06</v>
      </c>
      <c r="J1142">
        <v>0</v>
      </c>
      <c r="K1142" t="s">
        <v>759</v>
      </c>
      <c r="L1142" t="s">
        <v>232</v>
      </c>
      <c r="N1142" t="s">
        <v>194</v>
      </c>
    </row>
    <row r="1143" spans="1:14" x14ac:dyDescent="0.45">
      <c r="A1143">
        <v>1142</v>
      </c>
      <c r="B1143">
        <v>431</v>
      </c>
      <c r="C1143" t="s">
        <v>73</v>
      </c>
      <c r="D1143" t="s">
        <v>748</v>
      </c>
      <c r="E1143">
        <v>1000</v>
      </c>
      <c r="F1143" t="s">
        <v>77</v>
      </c>
      <c r="G1143" t="s">
        <v>78</v>
      </c>
      <c r="H1143" t="s">
        <v>218</v>
      </c>
      <c r="I1143">
        <v>0</v>
      </c>
      <c r="J1143">
        <v>2526.06</v>
      </c>
      <c r="K1143" t="s">
        <v>759</v>
      </c>
      <c r="L1143" t="s">
        <v>232</v>
      </c>
      <c r="N1143" t="s">
        <v>194</v>
      </c>
    </row>
    <row r="1144" spans="1:14" x14ac:dyDescent="0.45">
      <c r="A1144">
        <v>1143</v>
      </c>
      <c r="B1144">
        <v>432</v>
      </c>
      <c r="C1144" t="s">
        <v>74</v>
      </c>
      <c r="D1144" t="s">
        <v>731</v>
      </c>
      <c r="E1144">
        <v>1100</v>
      </c>
      <c r="F1144" t="s">
        <v>80</v>
      </c>
      <c r="G1144" t="s">
        <v>78</v>
      </c>
      <c r="H1144" t="s">
        <v>218</v>
      </c>
      <c r="I1144">
        <v>56773.83</v>
      </c>
      <c r="J1144">
        <v>0</v>
      </c>
      <c r="K1144" t="s">
        <v>760</v>
      </c>
      <c r="L1144" t="s">
        <v>220</v>
      </c>
      <c r="N1144" t="s">
        <v>194</v>
      </c>
    </row>
    <row r="1145" spans="1:14" x14ac:dyDescent="0.45">
      <c r="A1145">
        <v>1144</v>
      </c>
      <c r="B1145">
        <v>432</v>
      </c>
      <c r="C1145" t="s">
        <v>74</v>
      </c>
      <c r="D1145" t="s">
        <v>731</v>
      </c>
      <c r="E1145">
        <v>4010</v>
      </c>
      <c r="F1145" t="s">
        <v>101</v>
      </c>
      <c r="G1145" t="s">
        <v>99</v>
      </c>
      <c r="H1145" t="s">
        <v>218</v>
      </c>
      <c r="I1145">
        <v>0</v>
      </c>
      <c r="J1145">
        <v>23845.01</v>
      </c>
      <c r="K1145" t="s">
        <v>760</v>
      </c>
      <c r="L1145" t="s">
        <v>220</v>
      </c>
      <c r="N1145" t="s">
        <v>194</v>
      </c>
    </row>
    <row r="1146" spans="1:14" x14ac:dyDescent="0.45">
      <c r="A1146">
        <v>1145</v>
      </c>
      <c r="B1146">
        <v>432</v>
      </c>
      <c r="C1146" t="s">
        <v>74</v>
      </c>
      <c r="D1146" t="s">
        <v>731</v>
      </c>
      <c r="E1146">
        <v>4020</v>
      </c>
      <c r="F1146" t="s">
        <v>103</v>
      </c>
      <c r="G1146" t="s">
        <v>99</v>
      </c>
      <c r="H1146" t="s">
        <v>218</v>
      </c>
      <c r="I1146">
        <v>0</v>
      </c>
      <c r="J1146">
        <v>18735.36</v>
      </c>
      <c r="K1146" t="s">
        <v>760</v>
      </c>
      <c r="L1146" t="s">
        <v>220</v>
      </c>
      <c r="N1146" t="s">
        <v>194</v>
      </c>
    </row>
    <row r="1147" spans="1:14" x14ac:dyDescent="0.45">
      <c r="A1147">
        <v>1146</v>
      </c>
      <c r="B1147">
        <v>432</v>
      </c>
      <c r="C1147" t="s">
        <v>74</v>
      </c>
      <c r="D1147" t="s">
        <v>731</v>
      </c>
      <c r="E1147">
        <v>4030</v>
      </c>
      <c r="F1147" t="s">
        <v>105</v>
      </c>
      <c r="G1147" t="s">
        <v>99</v>
      </c>
      <c r="H1147" t="s">
        <v>218</v>
      </c>
      <c r="I1147">
        <v>0</v>
      </c>
      <c r="J1147">
        <v>14193.46</v>
      </c>
      <c r="K1147" t="s">
        <v>760</v>
      </c>
      <c r="L1147" t="s">
        <v>220</v>
      </c>
      <c r="N1147" t="s">
        <v>194</v>
      </c>
    </row>
    <row r="1148" spans="1:14" x14ac:dyDescent="0.45">
      <c r="A1148">
        <v>1147</v>
      </c>
      <c r="B1148">
        <v>433</v>
      </c>
      <c r="C1148" t="s">
        <v>74</v>
      </c>
      <c r="D1148" t="s">
        <v>733</v>
      </c>
      <c r="E1148">
        <v>1000</v>
      </c>
      <c r="F1148" t="s">
        <v>77</v>
      </c>
      <c r="G1148" t="s">
        <v>78</v>
      </c>
      <c r="H1148" t="s">
        <v>218</v>
      </c>
      <c r="I1148">
        <v>52206.39</v>
      </c>
      <c r="J1148">
        <v>0</v>
      </c>
      <c r="K1148" t="s">
        <v>761</v>
      </c>
      <c r="L1148" t="s">
        <v>223</v>
      </c>
      <c r="N1148" t="s">
        <v>194</v>
      </c>
    </row>
    <row r="1149" spans="1:14" x14ac:dyDescent="0.45">
      <c r="A1149">
        <v>1148</v>
      </c>
      <c r="B1149">
        <v>433</v>
      </c>
      <c r="C1149" t="s">
        <v>74</v>
      </c>
      <c r="D1149" t="s">
        <v>733</v>
      </c>
      <c r="E1149">
        <v>1100</v>
      </c>
      <c r="F1149" t="s">
        <v>80</v>
      </c>
      <c r="G1149" t="s">
        <v>78</v>
      </c>
      <c r="H1149" t="s">
        <v>218</v>
      </c>
      <c r="I1149">
        <v>0</v>
      </c>
      <c r="J1149">
        <v>52206.39</v>
      </c>
      <c r="K1149" t="s">
        <v>761</v>
      </c>
      <c r="L1149" t="s">
        <v>223</v>
      </c>
      <c r="N1149" t="s">
        <v>194</v>
      </c>
    </row>
    <row r="1150" spans="1:14" x14ac:dyDescent="0.45">
      <c r="A1150">
        <v>1149</v>
      </c>
      <c r="B1150">
        <v>434</v>
      </c>
      <c r="C1150" t="s">
        <v>74</v>
      </c>
      <c r="D1150" t="s">
        <v>735</v>
      </c>
      <c r="E1150">
        <v>5010</v>
      </c>
      <c r="F1150" t="s">
        <v>112</v>
      </c>
      <c r="G1150" t="s">
        <v>110</v>
      </c>
      <c r="H1150" t="s">
        <v>218</v>
      </c>
      <c r="I1150">
        <v>3224.38</v>
      </c>
      <c r="J1150">
        <v>0</v>
      </c>
      <c r="K1150" t="s">
        <v>762</v>
      </c>
      <c r="L1150" t="s">
        <v>226</v>
      </c>
      <c r="N1150" t="s">
        <v>194</v>
      </c>
    </row>
    <row r="1151" spans="1:14" x14ac:dyDescent="0.45">
      <c r="A1151">
        <v>1150</v>
      </c>
      <c r="B1151">
        <v>434</v>
      </c>
      <c r="C1151" t="s">
        <v>74</v>
      </c>
      <c r="D1151" t="s">
        <v>735</v>
      </c>
      <c r="E1151">
        <v>5020</v>
      </c>
      <c r="F1151" t="s">
        <v>114</v>
      </c>
      <c r="G1151" t="s">
        <v>110</v>
      </c>
      <c r="H1151" t="s">
        <v>218</v>
      </c>
      <c r="I1151">
        <v>2638.13</v>
      </c>
      <c r="J1151">
        <v>0</v>
      </c>
      <c r="K1151" t="s">
        <v>762</v>
      </c>
      <c r="L1151" t="s">
        <v>226</v>
      </c>
      <c r="N1151" t="s">
        <v>194</v>
      </c>
    </row>
    <row r="1152" spans="1:14" x14ac:dyDescent="0.45">
      <c r="A1152">
        <v>1151</v>
      </c>
      <c r="B1152">
        <v>434</v>
      </c>
      <c r="C1152" t="s">
        <v>74</v>
      </c>
      <c r="D1152" t="s">
        <v>735</v>
      </c>
      <c r="E1152">
        <v>1000</v>
      </c>
      <c r="F1152" t="s">
        <v>77</v>
      </c>
      <c r="G1152" t="s">
        <v>78</v>
      </c>
      <c r="H1152" t="s">
        <v>218</v>
      </c>
      <c r="I1152">
        <v>0</v>
      </c>
      <c r="J1152">
        <v>4103.76</v>
      </c>
      <c r="K1152" t="s">
        <v>762</v>
      </c>
      <c r="L1152" t="s">
        <v>226</v>
      </c>
      <c r="N1152" t="s">
        <v>194</v>
      </c>
    </row>
    <row r="1153" spans="1:14" x14ac:dyDescent="0.45">
      <c r="A1153">
        <v>1152</v>
      </c>
      <c r="B1153">
        <v>434</v>
      </c>
      <c r="C1153" t="s">
        <v>74</v>
      </c>
      <c r="D1153" t="s">
        <v>735</v>
      </c>
      <c r="E1153">
        <v>2000</v>
      </c>
      <c r="F1153" t="s">
        <v>88</v>
      </c>
      <c r="G1153" t="s">
        <v>89</v>
      </c>
      <c r="H1153" t="s">
        <v>218</v>
      </c>
      <c r="I1153">
        <v>0</v>
      </c>
      <c r="J1153">
        <v>1758.75</v>
      </c>
      <c r="K1153" t="s">
        <v>762</v>
      </c>
      <c r="L1153" t="s">
        <v>226</v>
      </c>
      <c r="N1153" t="s">
        <v>194</v>
      </c>
    </row>
    <row r="1154" spans="1:14" x14ac:dyDescent="0.45">
      <c r="A1154">
        <v>1153</v>
      </c>
      <c r="B1154">
        <v>435</v>
      </c>
      <c r="C1154" t="s">
        <v>74</v>
      </c>
      <c r="D1154" t="s">
        <v>737</v>
      </c>
      <c r="E1154">
        <v>6010</v>
      </c>
      <c r="F1154" t="s">
        <v>119</v>
      </c>
      <c r="G1154" t="s">
        <v>117</v>
      </c>
      <c r="H1154" t="s">
        <v>218</v>
      </c>
      <c r="I1154">
        <v>25526.6</v>
      </c>
      <c r="J1154">
        <v>0</v>
      </c>
      <c r="K1154" t="s">
        <v>763</v>
      </c>
      <c r="L1154" t="s">
        <v>229</v>
      </c>
      <c r="N1154" t="s">
        <v>194</v>
      </c>
    </row>
    <row r="1155" spans="1:14" x14ac:dyDescent="0.45">
      <c r="A1155">
        <v>1154</v>
      </c>
      <c r="B1155">
        <v>435</v>
      </c>
      <c r="C1155" t="s">
        <v>74</v>
      </c>
      <c r="D1155" t="s">
        <v>737</v>
      </c>
      <c r="E1155">
        <v>6020</v>
      </c>
      <c r="F1155" t="s">
        <v>121</v>
      </c>
      <c r="G1155" t="s">
        <v>117</v>
      </c>
      <c r="H1155" t="s">
        <v>218</v>
      </c>
      <c r="I1155">
        <v>3573.72</v>
      </c>
      <c r="J1155">
        <v>0</v>
      </c>
      <c r="K1155" t="s">
        <v>763</v>
      </c>
      <c r="L1155" t="s">
        <v>229</v>
      </c>
      <c r="N1155" t="s">
        <v>194</v>
      </c>
    </row>
    <row r="1156" spans="1:14" x14ac:dyDescent="0.45">
      <c r="A1156">
        <v>1155</v>
      </c>
      <c r="B1156">
        <v>435</v>
      </c>
      <c r="C1156" t="s">
        <v>74</v>
      </c>
      <c r="D1156" t="s">
        <v>737</v>
      </c>
      <c r="E1156">
        <v>1000</v>
      </c>
      <c r="F1156" t="s">
        <v>77</v>
      </c>
      <c r="G1156" t="s">
        <v>78</v>
      </c>
      <c r="H1156" t="s">
        <v>218</v>
      </c>
      <c r="I1156">
        <v>0</v>
      </c>
      <c r="J1156">
        <v>29069.47</v>
      </c>
      <c r="K1156" t="s">
        <v>763</v>
      </c>
      <c r="L1156" t="s">
        <v>229</v>
      </c>
      <c r="N1156" t="s">
        <v>194</v>
      </c>
    </row>
    <row r="1157" spans="1:14" x14ac:dyDescent="0.45">
      <c r="A1157">
        <v>1156</v>
      </c>
      <c r="B1157">
        <v>435</v>
      </c>
      <c r="C1157" t="s">
        <v>74</v>
      </c>
      <c r="D1157" t="s">
        <v>737</v>
      </c>
      <c r="E1157">
        <v>2100</v>
      </c>
      <c r="F1157" t="s">
        <v>91</v>
      </c>
      <c r="G1157" t="s">
        <v>89</v>
      </c>
      <c r="H1157" t="s">
        <v>218</v>
      </c>
      <c r="I1157">
        <v>0</v>
      </c>
      <c r="J1157">
        <v>2910.03</v>
      </c>
      <c r="K1157" t="s">
        <v>763</v>
      </c>
      <c r="L1157" t="s">
        <v>229</v>
      </c>
      <c r="N1157" t="s">
        <v>194</v>
      </c>
    </row>
    <row r="1158" spans="1:14" x14ac:dyDescent="0.45">
      <c r="A1158">
        <v>1157</v>
      </c>
      <c r="B1158">
        <v>435</v>
      </c>
      <c r="C1158" t="s">
        <v>74</v>
      </c>
      <c r="D1158" t="s">
        <v>737</v>
      </c>
      <c r="E1158">
        <v>2100</v>
      </c>
      <c r="F1158" t="s">
        <v>91</v>
      </c>
      <c r="G1158" t="s">
        <v>89</v>
      </c>
      <c r="H1158" t="s">
        <v>218</v>
      </c>
      <c r="I1158">
        <v>2879.18</v>
      </c>
      <c r="J1158">
        <v>0</v>
      </c>
      <c r="K1158" t="s">
        <v>763</v>
      </c>
      <c r="L1158" t="s">
        <v>229</v>
      </c>
      <c r="N1158" t="s">
        <v>194</v>
      </c>
    </row>
    <row r="1159" spans="1:14" x14ac:dyDescent="0.45">
      <c r="A1159">
        <v>1158</v>
      </c>
      <c r="B1159">
        <v>436</v>
      </c>
      <c r="C1159" t="s">
        <v>74</v>
      </c>
      <c r="D1159" t="s">
        <v>739</v>
      </c>
      <c r="E1159">
        <v>6030</v>
      </c>
      <c r="F1159" t="s">
        <v>123</v>
      </c>
      <c r="G1159" t="s">
        <v>117</v>
      </c>
      <c r="H1159" t="s">
        <v>218</v>
      </c>
      <c r="I1159">
        <v>3945.7</v>
      </c>
      <c r="J1159">
        <v>0</v>
      </c>
      <c r="K1159" t="s">
        <v>764</v>
      </c>
      <c r="L1159" t="s">
        <v>232</v>
      </c>
      <c r="N1159" t="s">
        <v>194</v>
      </c>
    </row>
    <row r="1160" spans="1:14" x14ac:dyDescent="0.45">
      <c r="A1160">
        <v>1159</v>
      </c>
      <c r="B1160">
        <v>436</v>
      </c>
      <c r="C1160" t="s">
        <v>74</v>
      </c>
      <c r="D1160" t="s">
        <v>739</v>
      </c>
      <c r="E1160">
        <v>1000</v>
      </c>
      <c r="F1160" t="s">
        <v>77</v>
      </c>
      <c r="G1160" t="s">
        <v>78</v>
      </c>
      <c r="H1160" t="s">
        <v>218</v>
      </c>
      <c r="I1160">
        <v>0</v>
      </c>
      <c r="J1160">
        <v>3945.7</v>
      </c>
      <c r="K1160" t="s">
        <v>764</v>
      </c>
      <c r="L1160" t="s">
        <v>232</v>
      </c>
      <c r="N1160" t="s">
        <v>194</v>
      </c>
    </row>
    <row r="1161" spans="1:14" x14ac:dyDescent="0.45">
      <c r="A1161">
        <v>1160</v>
      </c>
      <c r="B1161">
        <v>437</v>
      </c>
      <c r="C1161" t="s">
        <v>74</v>
      </c>
      <c r="D1161" t="s">
        <v>741</v>
      </c>
      <c r="E1161">
        <v>6040</v>
      </c>
      <c r="F1161" t="s">
        <v>125</v>
      </c>
      <c r="G1161" t="s">
        <v>117</v>
      </c>
      <c r="H1161" t="s">
        <v>218</v>
      </c>
      <c r="I1161">
        <v>1744.47</v>
      </c>
      <c r="J1161">
        <v>0</v>
      </c>
      <c r="K1161" t="s">
        <v>765</v>
      </c>
      <c r="L1161" t="s">
        <v>226</v>
      </c>
      <c r="N1161" t="s">
        <v>194</v>
      </c>
    </row>
    <row r="1162" spans="1:14" x14ac:dyDescent="0.45">
      <c r="A1162">
        <v>1161</v>
      </c>
      <c r="B1162">
        <v>437</v>
      </c>
      <c r="C1162" t="s">
        <v>74</v>
      </c>
      <c r="D1162" t="s">
        <v>741</v>
      </c>
      <c r="E1162">
        <v>1000</v>
      </c>
      <c r="F1162" t="s">
        <v>77</v>
      </c>
      <c r="G1162" t="s">
        <v>78</v>
      </c>
      <c r="H1162" t="s">
        <v>218</v>
      </c>
      <c r="I1162">
        <v>0</v>
      </c>
      <c r="J1162">
        <v>1395.58</v>
      </c>
      <c r="K1162" t="s">
        <v>765</v>
      </c>
      <c r="L1162" t="s">
        <v>226</v>
      </c>
      <c r="N1162" t="s">
        <v>194</v>
      </c>
    </row>
    <row r="1163" spans="1:14" x14ac:dyDescent="0.45">
      <c r="A1163">
        <v>1162</v>
      </c>
      <c r="B1163">
        <v>437</v>
      </c>
      <c r="C1163" t="s">
        <v>74</v>
      </c>
      <c r="D1163" t="s">
        <v>741</v>
      </c>
      <c r="E1163">
        <v>2000</v>
      </c>
      <c r="F1163" t="s">
        <v>88</v>
      </c>
      <c r="G1163" t="s">
        <v>89</v>
      </c>
      <c r="H1163" t="s">
        <v>218</v>
      </c>
      <c r="I1163">
        <v>0</v>
      </c>
      <c r="J1163">
        <v>348.89</v>
      </c>
      <c r="K1163" t="s">
        <v>765</v>
      </c>
      <c r="L1163" t="s">
        <v>226</v>
      </c>
      <c r="N1163" t="s">
        <v>194</v>
      </c>
    </row>
    <row r="1164" spans="1:14" x14ac:dyDescent="0.45">
      <c r="A1164">
        <v>1163</v>
      </c>
      <c r="B1164">
        <v>438</v>
      </c>
      <c r="C1164" t="s">
        <v>74</v>
      </c>
      <c r="D1164" t="s">
        <v>739</v>
      </c>
      <c r="E1164">
        <v>6050</v>
      </c>
      <c r="F1164" t="s">
        <v>127</v>
      </c>
      <c r="G1164" t="s">
        <v>117</v>
      </c>
      <c r="H1164" t="s">
        <v>218</v>
      </c>
      <c r="I1164">
        <v>797.5</v>
      </c>
      <c r="J1164">
        <v>0</v>
      </c>
      <c r="K1164" t="s">
        <v>766</v>
      </c>
      <c r="L1164" t="s">
        <v>236</v>
      </c>
      <c r="N1164" t="s">
        <v>194</v>
      </c>
    </row>
    <row r="1165" spans="1:14" x14ac:dyDescent="0.45">
      <c r="A1165">
        <v>1164</v>
      </c>
      <c r="B1165">
        <v>438</v>
      </c>
      <c r="C1165" t="s">
        <v>74</v>
      </c>
      <c r="D1165" t="s">
        <v>739</v>
      </c>
      <c r="E1165">
        <v>1200</v>
      </c>
      <c r="F1165" t="s">
        <v>82</v>
      </c>
      <c r="G1165" t="s">
        <v>78</v>
      </c>
      <c r="H1165" t="s">
        <v>218</v>
      </c>
      <c r="I1165">
        <v>0</v>
      </c>
      <c r="J1165">
        <v>797.5</v>
      </c>
      <c r="K1165" t="s">
        <v>766</v>
      </c>
      <c r="L1165" t="s">
        <v>236</v>
      </c>
      <c r="N1165" t="s">
        <v>194</v>
      </c>
    </row>
    <row r="1166" spans="1:14" x14ac:dyDescent="0.45">
      <c r="A1166">
        <v>1165</v>
      </c>
      <c r="B1166">
        <v>439</v>
      </c>
      <c r="C1166" t="s">
        <v>74</v>
      </c>
      <c r="D1166" t="s">
        <v>744</v>
      </c>
      <c r="E1166">
        <v>6060</v>
      </c>
      <c r="F1166" t="s">
        <v>129</v>
      </c>
      <c r="G1166" t="s">
        <v>117</v>
      </c>
      <c r="H1166" t="s">
        <v>218</v>
      </c>
      <c r="I1166">
        <v>1282.05</v>
      </c>
      <c r="J1166">
        <v>0</v>
      </c>
      <c r="K1166" t="s">
        <v>767</v>
      </c>
      <c r="L1166" t="s">
        <v>232</v>
      </c>
      <c r="N1166" t="s">
        <v>194</v>
      </c>
    </row>
    <row r="1167" spans="1:14" x14ac:dyDescent="0.45">
      <c r="A1167">
        <v>1166</v>
      </c>
      <c r="B1167">
        <v>439</v>
      </c>
      <c r="C1167" t="s">
        <v>74</v>
      </c>
      <c r="D1167" t="s">
        <v>744</v>
      </c>
      <c r="E1167">
        <v>1000</v>
      </c>
      <c r="F1167" t="s">
        <v>77</v>
      </c>
      <c r="G1167" t="s">
        <v>78</v>
      </c>
      <c r="H1167" t="s">
        <v>218</v>
      </c>
      <c r="I1167">
        <v>0</v>
      </c>
      <c r="J1167">
        <v>1282.05</v>
      </c>
      <c r="K1167" t="s">
        <v>767</v>
      </c>
      <c r="L1167" t="s">
        <v>232</v>
      </c>
      <c r="N1167" t="s">
        <v>194</v>
      </c>
    </row>
    <row r="1168" spans="1:14" x14ac:dyDescent="0.45">
      <c r="A1168">
        <v>1167</v>
      </c>
      <c r="B1168">
        <v>440</v>
      </c>
      <c r="C1168" t="s">
        <v>74</v>
      </c>
      <c r="D1168" t="s">
        <v>746</v>
      </c>
      <c r="E1168">
        <v>7000</v>
      </c>
      <c r="F1168" t="s">
        <v>133</v>
      </c>
      <c r="G1168" t="s">
        <v>117</v>
      </c>
      <c r="H1168" t="s">
        <v>218</v>
      </c>
      <c r="I1168">
        <v>605</v>
      </c>
      <c r="J1168">
        <v>0</v>
      </c>
      <c r="K1168" t="s">
        <v>768</v>
      </c>
      <c r="L1168" t="s">
        <v>241</v>
      </c>
      <c r="N1168" t="s">
        <v>194</v>
      </c>
    </row>
    <row r="1169" spans="1:14" x14ac:dyDescent="0.45">
      <c r="A1169">
        <v>1168</v>
      </c>
      <c r="B1169">
        <v>440</v>
      </c>
      <c r="C1169" t="s">
        <v>74</v>
      </c>
      <c r="D1169" t="s">
        <v>746</v>
      </c>
      <c r="E1169">
        <v>1500</v>
      </c>
      <c r="F1169" t="s">
        <v>86</v>
      </c>
      <c r="G1169" t="s">
        <v>78</v>
      </c>
      <c r="H1169" t="s">
        <v>218</v>
      </c>
      <c r="I1169">
        <v>0</v>
      </c>
      <c r="J1169">
        <v>605</v>
      </c>
      <c r="K1169" t="s">
        <v>768</v>
      </c>
      <c r="L1169" t="s">
        <v>241</v>
      </c>
      <c r="N1169" t="s">
        <v>194</v>
      </c>
    </row>
    <row r="1170" spans="1:14" x14ac:dyDescent="0.45">
      <c r="A1170">
        <v>1169</v>
      </c>
      <c r="B1170">
        <v>441</v>
      </c>
      <c r="C1170" t="s">
        <v>74</v>
      </c>
      <c r="D1170" t="s">
        <v>748</v>
      </c>
      <c r="E1170">
        <v>2000</v>
      </c>
      <c r="F1170" t="s">
        <v>88</v>
      </c>
      <c r="G1170" t="s">
        <v>89</v>
      </c>
      <c r="H1170" t="s">
        <v>218</v>
      </c>
      <c r="I1170">
        <v>2083.42</v>
      </c>
      <c r="J1170">
        <v>0</v>
      </c>
      <c r="K1170" t="s">
        <v>769</v>
      </c>
      <c r="L1170" t="s">
        <v>232</v>
      </c>
      <c r="N1170" t="s">
        <v>194</v>
      </c>
    </row>
    <row r="1171" spans="1:14" x14ac:dyDescent="0.45">
      <c r="A1171">
        <v>1170</v>
      </c>
      <c r="B1171">
        <v>441</v>
      </c>
      <c r="C1171" t="s">
        <v>74</v>
      </c>
      <c r="D1171" t="s">
        <v>748</v>
      </c>
      <c r="E1171">
        <v>1000</v>
      </c>
      <c r="F1171" t="s">
        <v>77</v>
      </c>
      <c r="G1171" t="s">
        <v>78</v>
      </c>
      <c r="H1171" t="s">
        <v>218</v>
      </c>
      <c r="I1171">
        <v>0</v>
      </c>
      <c r="J1171">
        <v>2083.42</v>
      </c>
      <c r="K1171" t="s">
        <v>769</v>
      </c>
      <c r="L1171" t="s">
        <v>232</v>
      </c>
      <c r="N1171" t="s">
        <v>194</v>
      </c>
    </row>
    <row r="1172" spans="1:14" x14ac:dyDescent="0.45">
      <c r="A1172">
        <v>1171</v>
      </c>
      <c r="B1172">
        <v>442</v>
      </c>
      <c r="C1172" t="s">
        <v>72</v>
      </c>
      <c r="D1172" t="s">
        <v>770</v>
      </c>
      <c r="E1172">
        <v>1300</v>
      </c>
      <c r="F1172" t="s">
        <v>84</v>
      </c>
      <c r="G1172" t="s">
        <v>78</v>
      </c>
      <c r="H1172" t="s">
        <v>261</v>
      </c>
      <c r="I1172">
        <v>3578.64</v>
      </c>
      <c r="J1172">
        <v>0</v>
      </c>
      <c r="K1172" t="s">
        <v>771</v>
      </c>
      <c r="L1172" t="s">
        <v>263</v>
      </c>
      <c r="M1172" t="s">
        <v>73</v>
      </c>
      <c r="N1172" t="s">
        <v>194</v>
      </c>
    </row>
    <row r="1173" spans="1:14" x14ac:dyDescent="0.45">
      <c r="A1173">
        <v>1172</v>
      </c>
      <c r="B1173">
        <v>442</v>
      </c>
      <c r="C1173" t="s">
        <v>72</v>
      </c>
      <c r="D1173" t="s">
        <v>770</v>
      </c>
      <c r="E1173">
        <v>4090</v>
      </c>
      <c r="F1173" t="s">
        <v>107</v>
      </c>
      <c r="G1173" t="s">
        <v>99</v>
      </c>
      <c r="H1173" t="s">
        <v>261</v>
      </c>
      <c r="I1173">
        <v>0</v>
      </c>
      <c r="J1173">
        <v>3578.64</v>
      </c>
      <c r="K1173" t="s">
        <v>771</v>
      </c>
      <c r="L1173" t="s">
        <v>263</v>
      </c>
      <c r="M1173" t="s">
        <v>73</v>
      </c>
      <c r="N1173" t="s">
        <v>194</v>
      </c>
    </row>
    <row r="1174" spans="1:14" x14ac:dyDescent="0.45">
      <c r="A1174">
        <v>1173</v>
      </c>
      <c r="B1174">
        <v>443</v>
      </c>
      <c r="C1174" t="s">
        <v>73</v>
      </c>
      <c r="D1174" t="s">
        <v>770</v>
      </c>
      <c r="E1174">
        <v>6070</v>
      </c>
      <c r="F1174" t="s">
        <v>131</v>
      </c>
      <c r="G1174" t="s">
        <v>117</v>
      </c>
      <c r="H1174" t="s">
        <v>261</v>
      </c>
      <c r="I1174">
        <v>3578.64</v>
      </c>
      <c r="J1174">
        <v>0</v>
      </c>
      <c r="K1174" t="s">
        <v>772</v>
      </c>
      <c r="L1174" t="s">
        <v>263</v>
      </c>
      <c r="M1174" t="s">
        <v>72</v>
      </c>
      <c r="N1174" t="s">
        <v>194</v>
      </c>
    </row>
    <row r="1175" spans="1:14" x14ac:dyDescent="0.45">
      <c r="A1175">
        <v>1174</v>
      </c>
      <c r="B1175">
        <v>443</v>
      </c>
      <c r="C1175" t="s">
        <v>73</v>
      </c>
      <c r="D1175" t="s">
        <v>770</v>
      </c>
      <c r="E1175">
        <v>2200</v>
      </c>
      <c r="F1175" t="s">
        <v>93</v>
      </c>
      <c r="G1175" t="s">
        <v>89</v>
      </c>
      <c r="H1175" t="s">
        <v>261</v>
      </c>
      <c r="I1175">
        <v>0</v>
      </c>
      <c r="J1175">
        <v>3578.64</v>
      </c>
      <c r="K1175" t="s">
        <v>772</v>
      </c>
      <c r="L1175" t="s">
        <v>263</v>
      </c>
      <c r="M1175" t="s">
        <v>72</v>
      </c>
      <c r="N1175" t="s">
        <v>194</v>
      </c>
    </row>
    <row r="1176" spans="1:14" x14ac:dyDescent="0.45">
      <c r="A1176">
        <v>1175</v>
      </c>
      <c r="B1176">
        <v>444</v>
      </c>
      <c r="C1176" t="s">
        <v>73</v>
      </c>
      <c r="D1176" t="s">
        <v>773</v>
      </c>
      <c r="E1176">
        <v>2200</v>
      </c>
      <c r="F1176" t="s">
        <v>93</v>
      </c>
      <c r="G1176" t="s">
        <v>89</v>
      </c>
      <c r="H1176" t="s">
        <v>261</v>
      </c>
      <c r="I1176">
        <v>3546.4</v>
      </c>
      <c r="J1176">
        <v>0</v>
      </c>
      <c r="K1176" t="s">
        <v>774</v>
      </c>
      <c r="L1176" t="s">
        <v>309</v>
      </c>
      <c r="M1176" t="s">
        <v>72</v>
      </c>
      <c r="N1176" t="s">
        <v>194</v>
      </c>
    </row>
    <row r="1177" spans="1:14" x14ac:dyDescent="0.45">
      <c r="A1177">
        <v>1176</v>
      </c>
      <c r="B1177">
        <v>444</v>
      </c>
      <c r="C1177" t="s">
        <v>73</v>
      </c>
      <c r="D1177" t="s">
        <v>773</v>
      </c>
      <c r="E1177">
        <v>1000</v>
      </c>
      <c r="F1177" t="s">
        <v>77</v>
      </c>
      <c r="G1177" t="s">
        <v>78</v>
      </c>
      <c r="H1177" t="s">
        <v>218</v>
      </c>
      <c r="I1177">
        <v>0</v>
      </c>
      <c r="J1177">
        <v>3546.4</v>
      </c>
      <c r="K1177" t="s">
        <v>774</v>
      </c>
      <c r="L1177" t="s">
        <v>309</v>
      </c>
      <c r="M1177" t="s">
        <v>72</v>
      </c>
      <c r="N1177" t="s">
        <v>194</v>
      </c>
    </row>
    <row r="1178" spans="1:14" x14ac:dyDescent="0.45">
      <c r="A1178">
        <v>1177</v>
      </c>
      <c r="B1178">
        <v>445</v>
      </c>
      <c r="C1178" t="s">
        <v>72</v>
      </c>
      <c r="D1178" t="s">
        <v>773</v>
      </c>
      <c r="E1178">
        <v>1000</v>
      </c>
      <c r="F1178" t="s">
        <v>77</v>
      </c>
      <c r="G1178" t="s">
        <v>78</v>
      </c>
      <c r="H1178" t="s">
        <v>218</v>
      </c>
      <c r="I1178">
        <v>3546.4</v>
      </c>
      <c r="J1178">
        <v>0</v>
      </c>
      <c r="K1178" t="s">
        <v>775</v>
      </c>
      <c r="L1178" t="s">
        <v>309</v>
      </c>
      <c r="M1178" t="s">
        <v>73</v>
      </c>
      <c r="N1178" t="s">
        <v>194</v>
      </c>
    </row>
    <row r="1179" spans="1:14" x14ac:dyDescent="0.45">
      <c r="A1179">
        <v>1178</v>
      </c>
      <c r="B1179">
        <v>445</v>
      </c>
      <c r="C1179" t="s">
        <v>72</v>
      </c>
      <c r="D1179" t="s">
        <v>773</v>
      </c>
      <c r="E1179">
        <v>1300</v>
      </c>
      <c r="F1179" t="s">
        <v>84</v>
      </c>
      <c r="G1179" t="s">
        <v>78</v>
      </c>
      <c r="H1179" t="s">
        <v>261</v>
      </c>
      <c r="I1179">
        <v>0</v>
      </c>
      <c r="J1179">
        <v>3546.4</v>
      </c>
      <c r="K1179" t="s">
        <v>775</v>
      </c>
      <c r="L1179" t="s">
        <v>309</v>
      </c>
      <c r="M1179" t="s">
        <v>73</v>
      </c>
      <c r="N1179" t="s">
        <v>194</v>
      </c>
    </row>
    <row r="1180" spans="1:14" x14ac:dyDescent="0.45">
      <c r="A1180">
        <v>1179</v>
      </c>
      <c r="B1180">
        <v>446</v>
      </c>
      <c r="C1180" t="s">
        <v>72</v>
      </c>
      <c r="D1180" t="s">
        <v>770</v>
      </c>
      <c r="E1180">
        <v>1300</v>
      </c>
      <c r="F1180" t="s">
        <v>84</v>
      </c>
      <c r="G1180" t="s">
        <v>78</v>
      </c>
      <c r="H1180" t="s">
        <v>261</v>
      </c>
      <c r="I1180">
        <v>3174.6</v>
      </c>
      <c r="J1180">
        <v>0</v>
      </c>
      <c r="K1180" t="s">
        <v>776</v>
      </c>
      <c r="L1180" t="s">
        <v>263</v>
      </c>
      <c r="M1180" t="s">
        <v>74</v>
      </c>
      <c r="N1180" t="s">
        <v>194</v>
      </c>
    </row>
    <row r="1181" spans="1:14" x14ac:dyDescent="0.45">
      <c r="A1181">
        <v>1180</v>
      </c>
      <c r="B1181">
        <v>446</v>
      </c>
      <c r="C1181" t="s">
        <v>72</v>
      </c>
      <c r="D1181" t="s">
        <v>770</v>
      </c>
      <c r="E1181">
        <v>4090</v>
      </c>
      <c r="F1181" t="s">
        <v>107</v>
      </c>
      <c r="G1181" t="s">
        <v>99</v>
      </c>
      <c r="H1181" t="s">
        <v>261</v>
      </c>
      <c r="I1181">
        <v>0</v>
      </c>
      <c r="J1181">
        <v>3174.6</v>
      </c>
      <c r="K1181" t="s">
        <v>776</v>
      </c>
      <c r="L1181" t="s">
        <v>263</v>
      </c>
      <c r="M1181" t="s">
        <v>74</v>
      </c>
      <c r="N1181" t="s">
        <v>194</v>
      </c>
    </row>
    <row r="1182" spans="1:14" x14ac:dyDescent="0.45">
      <c r="A1182">
        <v>1181</v>
      </c>
      <c r="B1182">
        <v>447</v>
      </c>
      <c r="C1182" t="s">
        <v>74</v>
      </c>
      <c r="D1182" t="s">
        <v>770</v>
      </c>
      <c r="E1182">
        <v>6070</v>
      </c>
      <c r="F1182" t="s">
        <v>131</v>
      </c>
      <c r="G1182" t="s">
        <v>117</v>
      </c>
      <c r="H1182" t="s">
        <v>261</v>
      </c>
      <c r="I1182">
        <v>3174.6</v>
      </c>
      <c r="J1182">
        <v>0</v>
      </c>
      <c r="K1182" t="s">
        <v>772</v>
      </c>
      <c r="L1182" t="s">
        <v>263</v>
      </c>
      <c r="M1182" t="s">
        <v>72</v>
      </c>
      <c r="N1182" t="s">
        <v>194</v>
      </c>
    </row>
    <row r="1183" spans="1:14" x14ac:dyDescent="0.45">
      <c r="A1183">
        <v>1182</v>
      </c>
      <c r="B1183">
        <v>447</v>
      </c>
      <c r="C1183" t="s">
        <v>74</v>
      </c>
      <c r="D1183" t="s">
        <v>770</v>
      </c>
      <c r="E1183">
        <v>2200</v>
      </c>
      <c r="F1183" t="s">
        <v>93</v>
      </c>
      <c r="G1183" t="s">
        <v>89</v>
      </c>
      <c r="H1183" t="s">
        <v>261</v>
      </c>
      <c r="I1183">
        <v>0</v>
      </c>
      <c r="J1183">
        <v>3174.6</v>
      </c>
      <c r="K1183" t="s">
        <v>772</v>
      </c>
      <c r="L1183" t="s">
        <v>263</v>
      </c>
      <c r="M1183" t="s">
        <v>72</v>
      </c>
      <c r="N1183" t="s">
        <v>194</v>
      </c>
    </row>
    <row r="1184" spans="1:14" x14ac:dyDescent="0.45">
      <c r="A1184">
        <v>1183</v>
      </c>
      <c r="B1184">
        <v>448</v>
      </c>
      <c r="C1184" t="s">
        <v>74</v>
      </c>
      <c r="D1184" t="s">
        <v>773</v>
      </c>
      <c r="E1184">
        <v>2200</v>
      </c>
      <c r="F1184" t="s">
        <v>93</v>
      </c>
      <c r="G1184" t="s">
        <v>89</v>
      </c>
      <c r="H1184" t="s">
        <v>261</v>
      </c>
      <c r="I1184">
        <v>3146</v>
      </c>
      <c r="J1184">
        <v>0</v>
      </c>
      <c r="K1184" t="s">
        <v>774</v>
      </c>
      <c r="L1184" t="s">
        <v>309</v>
      </c>
      <c r="M1184" t="s">
        <v>72</v>
      </c>
      <c r="N1184" t="s">
        <v>194</v>
      </c>
    </row>
    <row r="1185" spans="1:14" x14ac:dyDescent="0.45">
      <c r="A1185">
        <v>1184</v>
      </c>
      <c r="B1185">
        <v>448</v>
      </c>
      <c r="C1185" t="s">
        <v>74</v>
      </c>
      <c r="D1185" t="s">
        <v>773</v>
      </c>
      <c r="E1185">
        <v>1000</v>
      </c>
      <c r="F1185" t="s">
        <v>77</v>
      </c>
      <c r="G1185" t="s">
        <v>78</v>
      </c>
      <c r="H1185" t="s">
        <v>218</v>
      </c>
      <c r="I1185">
        <v>0</v>
      </c>
      <c r="J1185">
        <v>3146</v>
      </c>
      <c r="K1185" t="s">
        <v>774</v>
      </c>
      <c r="L1185" t="s">
        <v>309</v>
      </c>
      <c r="M1185" t="s">
        <v>72</v>
      </c>
      <c r="N1185" t="s">
        <v>194</v>
      </c>
    </row>
    <row r="1186" spans="1:14" x14ac:dyDescent="0.45">
      <c r="A1186">
        <v>1185</v>
      </c>
      <c r="B1186">
        <v>449</v>
      </c>
      <c r="C1186" t="s">
        <v>72</v>
      </c>
      <c r="D1186" t="s">
        <v>773</v>
      </c>
      <c r="E1186">
        <v>1000</v>
      </c>
      <c r="F1186" t="s">
        <v>77</v>
      </c>
      <c r="G1186" t="s">
        <v>78</v>
      </c>
      <c r="H1186" t="s">
        <v>218</v>
      </c>
      <c r="I1186">
        <v>3146</v>
      </c>
      <c r="J1186">
        <v>0</v>
      </c>
      <c r="K1186" t="s">
        <v>777</v>
      </c>
      <c r="L1186" t="s">
        <v>309</v>
      </c>
      <c r="M1186" t="s">
        <v>74</v>
      </c>
      <c r="N1186" t="s">
        <v>194</v>
      </c>
    </row>
    <row r="1187" spans="1:14" x14ac:dyDescent="0.45">
      <c r="A1187">
        <v>1186</v>
      </c>
      <c r="B1187">
        <v>449</v>
      </c>
      <c r="C1187" t="s">
        <v>72</v>
      </c>
      <c r="D1187" t="s">
        <v>773</v>
      </c>
      <c r="E1187">
        <v>1300</v>
      </c>
      <c r="F1187" t="s">
        <v>84</v>
      </c>
      <c r="G1187" t="s">
        <v>78</v>
      </c>
      <c r="H1187" t="s">
        <v>261</v>
      </c>
      <c r="I1187">
        <v>0</v>
      </c>
      <c r="J1187">
        <v>3146</v>
      </c>
      <c r="K1187" t="s">
        <v>777</v>
      </c>
      <c r="L1187" t="s">
        <v>309</v>
      </c>
      <c r="M1187" t="s">
        <v>74</v>
      </c>
      <c r="N1187" t="s">
        <v>194</v>
      </c>
    </row>
    <row r="1188" spans="1:14" x14ac:dyDescent="0.45">
      <c r="A1188">
        <v>1187</v>
      </c>
      <c r="B1188">
        <v>450</v>
      </c>
      <c r="C1188" t="s">
        <v>72</v>
      </c>
      <c r="D1188" t="s">
        <v>778</v>
      </c>
      <c r="E1188">
        <v>1100</v>
      </c>
      <c r="F1188" t="s">
        <v>80</v>
      </c>
      <c r="G1188" t="s">
        <v>78</v>
      </c>
      <c r="H1188" t="s">
        <v>218</v>
      </c>
      <c r="I1188">
        <v>98795.78</v>
      </c>
      <c r="J1188">
        <v>0</v>
      </c>
      <c r="K1188" t="s">
        <v>779</v>
      </c>
      <c r="L1188" t="s">
        <v>220</v>
      </c>
      <c r="N1188" t="s">
        <v>195</v>
      </c>
    </row>
    <row r="1189" spans="1:14" x14ac:dyDescent="0.45">
      <c r="A1189">
        <v>1188</v>
      </c>
      <c r="B1189">
        <v>450</v>
      </c>
      <c r="C1189" t="s">
        <v>72</v>
      </c>
      <c r="D1189" t="s">
        <v>778</v>
      </c>
      <c r="E1189">
        <v>4010</v>
      </c>
      <c r="F1189" t="s">
        <v>101</v>
      </c>
      <c r="G1189" t="s">
        <v>99</v>
      </c>
      <c r="H1189" t="s">
        <v>218</v>
      </c>
      <c r="I1189">
        <v>0</v>
      </c>
      <c r="J1189">
        <v>41494.230000000003</v>
      </c>
      <c r="K1189" t="s">
        <v>779</v>
      </c>
      <c r="L1189" t="s">
        <v>220</v>
      </c>
      <c r="N1189" t="s">
        <v>195</v>
      </c>
    </row>
    <row r="1190" spans="1:14" x14ac:dyDescent="0.45">
      <c r="A1190">
        <v>1189</v>
      </c>
      <c r="B1190">
        <v>450</v>
      </c>
      <c r="C1190" t="s">
        <v>72</v>
      </c>
      <c r="D1190" t="s">
        <v>778</v>
      </c>
      <c r="E1190">
        <v>4020</v>
      </c>
      <c r="F1190" t="s">
        <v>103</v>
      </c>
      <c r="G1190" t="s">
        <v>99</v>
      </c>
      <c r="H1190" t="s">
        <v>218</v>
      </c>
      <c r="I1190">
        <v>0</v>
      </c>
      <c r="J1190">
        <v>32602.61</v>
      </c>
      <c r="K1190" t="s">
        <v>779</v>
      </c>
      <c r="L1190" t="s">
        <v>220</v>
      </c>
      <c r="N1190" t="s">
        <v>195</v>
      </c>
    </row>
    <row r="1191" spans="1:14" x14ac:dyDescent="0.45">
      <c r="A1191">
        <v>1190</v>
      </c>
      <c r="B1191">
        <v>450</v>
      </c>
      <c r="C1191" t="s">
        <v>72</v>
      </c>
      <c r="D1191" t="s">
        <v>778</v>
      </c>
      <c r="E1191">
        <v>4030</v>
      </c>
      <c r="F1191" t="s">
        <v>105</v>
      </c>
      <c r="G1191" t="s">
        <v>99</v>
      </c>
      <c r="H1191" t="s">
        <v>218</v>
      </c>
      <c r="I1191">
        <v>0</v>
      </c>
      <c r="J1191">
        <v>24698.94</v>
      </c>
      <c r="K1191" t="s">
        <v>779</v>
      </c>
      <c r="L1191" t="s">
        <v>220</v>
      </c>
      <c r="N1191" t="s">
        <v>195</v>
      </c>
    </row>
    <row r="1192" spans="1:14" x14ac:dyDescent="0.45">
      <c r="A1192">
        <v>1191</v>
      </c>
      <c r="B1192">
        <v>451</v>
      </c>
      <c r="C1192" t="s">
        <v>72</v>
      </c>
      <c r="D1192" t="s">
        <v>780</v>
      </c>
      <c r="E1192">
        <v>1000</v>
      </c>
      <c r="F1192" t="s">
        <v>77</v>
      </c>
      <c r="G1192" t="s">
        <v>78</v>
      </c>
      <c r="H1192" t="s">
        <v>218</v>
      </c>
      <c r="I1192">
        <v>88909.87</v>
      </c>
      <c r="J1192">
        <v>0</v>
      </c>
      <c r="K1192" t="s">
        <v>781</v>
      </c>
      <c r="L1192" t="s">
        <v>223</v>
      </c>
      <c r="N1192" t="s">
        <v>195</v>
      </c>
    </row>
    <row r="1193" spans="1:14" x14ac:dyDescent="0.45">
      <c r="A1193">
        <v>1192</v>
      </c>
      <c r="B1193">
        <v>451</v>
      </c>
      <c r="C1193" t="s">
        <v>72</v>
      </c>
      <c r="D1193" t="s">
        <v>780</v>
      </c>
      <c r="E1193">
        <v>1100</v>
      </c>
      <c r="F1193" t="s">
        <v>80</v>
      </c>
      <c r="G1193" t="s">
        <v>78</v>
      </c>
      <c r="H1193" t="s">
        <v>218</v>
      </c>
      <c r="I1193">
        <v>0</v>
      </c>
      <c r="J1193">
        <v>88909.87</v>
      </c>
      <c r="K1193" t="s">
        <v>781</v>
      </c>
      <c r="L1193" t="s">
        <v>223</v>
      </c>
      <c r="N1193" t="s">
        <v>195</v>
      </c>
    </row>
    <row r="1194" spans="1:14" x14ac:dyDescent="0.45">
      <c r="A1194">
        <v>1193</v>
      </c>
      <c r="B1194">
        <v>452</v>
      </c>
      <c r="C1194" t="s">
        <v>72</v>
      </c>
      <c r="D1194" t="s">
        <v>782</v>
      </c>
      <c r="E1194">
        <v>5010</v>
      </c>
      <c r="F1194" t="s">
        <v>112</v>
      </c>
      <c r="G1194" t="s">
        <v>110</v>
      </c>
      <c r="H1194" t="s">
        <v>218</v>
      </c>
      <c r="I1194">
        <v>5610.96</v>
      </c>
      <c r="J1194">
        <v>0</v>
      </c>
      <c r="K1194" t="s">
        <v>783</v>
      </c>
      <c r="L1194" t="s">
        <v>226</v>
      </c>
      <c r="N1194" t="s">
        <v>195</v>
      </c>
    </row>
    <row r="1195" spans="1:14" x14ac:dyDescent="0.45">
      <c r="A1195">
        <v>1194</v>
      </c>
      <c r="B1195">
        <v>452</v>
      </c>
      <c r="C1195" t="s">
        <v>72</v>
      </c>
      <c r="D1195" t="s">
        <v>782</v>
      </c>
      <c r="E1195">
        <v>5020</v>
      </c>
      <c r="F1195" t="s">
        <v>114</v>
      </c>
      <c r="G1195" t="s">
        <v>110</v>
      </c>
      <c r="H1195" t="s">
        <v>218</v>
      </c>
      <c r="I1195">
        <v>4590.78</v>
      </c>
      <c r="J1195">
        <v>0</v>
      </c>
      <c r="K1195" t="s">
        <v>783</v>
      </c>
      <c r="L1195" t="s">
        <v>226</v>
      </c>
      <c r="N1195" t="s">
        <v>195</v>
      </c>
    </row>
    <row r="1196" spans="1:14" x14ac:dyDescent="0.45">
      <c r="A1196">
        <v>1195</v>
      </c>
      <c r="B1196">
        <v>452</v>
      </c>
      <c r="C1196" t="s">
        <v>72</v>
      </c>
      <c r="D1196" t="s">
        <v>782</v>
      </c>
      <c r="E1196">
        <v>1000</v>
      </c>
      <c r="F1196" t="s">
        <v>77</v>
      </c>
      <c r="G1196" t="s">
        <v>78</v>
      </c>
      <c r="H1196" t="s">
        <v>218</v>
      </c>
      <c r="I1196">
        <v>0</v>
      </c>
      <c r="J1196">
        <v>7141.22</v>
      </c>
      <c r="K1196" t="s">
        <v>783</v>
      </c>
      <c r="L1196" t="s">
        <v>226</v>
      </c>
      <c r="N1196" t="s">
        <v>195</v>
      </c>
    </row>
    <row r="1197" spans="1:14" x14ac:dyDescent="0.45">
      <c r="A1197">
        <v>1196</v>
      </c>
      <c r="B1197">
        <v>452</v>
      </c>
      <c r="C1197" t="s">
        <v>72</v>
      </c>
      <c r="D1197" t="s">
        <v>782</v>
      </c>
      <c r="E1197">
        <v>2000</v>
      </c>
      <c r="F1197" t="s">
        <v>88</v>
      </c>
      <c r="G1197" t="s">
        <v>89</v>
      </c>
      <c r="H1197" t="s">
        <v>218</v>
      </c>
      <c r="I1197">
        <v>0</v>
      </c>
      <c r="J1197">
        <v>3060.52</v>
      </c>
      <c r="K1197" t="s">
        <v>783</v>
      </c>
      <c r="L1197" t="s">
        <v>226</v>
      </c>
      <c r="N1197" t="s">
        <v>195</v>
      </c>
    </row>
    <row r="1198" spans="1:14" x14ac:dyDescent="0.45">
      <c r="A1198">
        <v>1197</v>
      </c>
      <c r="B1198">
        <v>453</v>
      </c>
      <c r="C1198" t="s">
        <v>72</v>
      </c>
      <c r="D1198" t="s">
        <v>784</v>
      </c>
      <c r="E1198">
        <v>6010</v>
      </c>
      <c r="F1198" t="s">
        <v>119</v>
      </c>
      <c r="G1198" t="s">
        <v>117</v>
      </c>
      <c r="H1198" t="s">
        <v>218</v>
      </c>
      <c r="I1198">
        <v>46904</v>
      </c>
      <c r="J1198">
        <v>0</v>
      </c>
      <c r="K1198" t="s">
        <v>785</v>
      </c>
      <c r="L1198" t="s">
        <v>229</v>
      </c>
      <c r="N1198" t="s">
        <v>195</v>
      </c>
    </row>
    <row r="1199" spans="1:14" x14ac:dyDescent="0.45">
      <c r="A1199">
        <v>1198</v>
      </c>
      <c r="B1199">
        <v>453</v>
      </c>
      <c r="C1199" t="s">
        <v>72</v>
      </c>
      <c r="D1199" t="s">
        <v>784</v>
      </c>
      <c r="E1199">
        <v>6020</v>
      </c>
      <c r="F1199" t="s">
        <v>121</v>
      </c>
      <c r="G1199" t="s">
        <v>117</v>
      </c>
      <c r="H1199" t="s">
        <v>218</v>
      </c>
      <c r="I1199">
        <v>6566.56</v>
      </c>
      <c r="J1199">
        <v>0</v>
      </c>
      <c r="K1199" t="s">
        <v>785</v>
      </c>
      <c r="L1199" t="s">
        <v>229</v>
      </c>
      <c r="N1199" t="s">
        <v>195</v>
      </c>
    </row>
    <row r="1200" spans="1:14" x14ac:dyDescent="0.45">
      <c r="A1200">
        <v>1199</v>
      </c>
      <c r="B1200">
        <v>453</v>
      </c>
      <c r="C1200" t="s">
        <v>72</v>
      </c>
      <c r="D1200" t="s">
        <v>784</v>
      </c>
      <c r="E1200">
        <v>1000</v>
      </c>
      <c r="F1200" t="s">
        <v>77</v>
      </c>
      <c r="G1200" t="s">
        <v>78</v>
      </c>
      <c r="H1200" t="s">
        <v>218</v>
      </c>
      <c r="I1200">
        <v>0</v>
      </c>
      <c r="J1200">
        <v>53414.47</v>
      </c>
      <c r="K1200" t="s">
        <v>785</v>
      </c>
      <c r="L1200" t="s">
        <v>229</v>
      </c>
      <c r="N1200" t="s">
        <v>195</v>
      </c>
    </row>
    <row r="1201" spans="1:14" x14ac:dyDescent="0.45">
      <c r="A1201">
        <v>1200</v>
      </c>
      <c r="B1201">
        <v>453</v>
      </c>
      <c r="C1201" t="s">
        <v>72</v>
      </c>
      <c r="D1201" t="s">
        <v>784</v>
      </c>
      <c r="E1201">
        <v>2100</v>
      </c>
      <c r="F1201" t="s">
        <v>91</v>
      </c>
      <c r="G1201" t="s">
        <v>89</v>
      </c>
      <c r="H1201" t="s">
        <v>218</v>
      </c>
      <c r="I1201">
        <v>0</v>
      </c>
      <c r="J1201">
        <v>5347.06</v>
      </c>
      <c r="K1201" t="s">
        <v>785</v>
      </c>
      <c r="L1201" t="s">
        <v>229</v>
      </c>
      <c r="N1201" t="s">
        <v>195</v>
      </c>
    </row>
    <row r="1202" spans="1:14" x14ac:dyDescent="0.45">
      <c r="A1202">
        <v>1201</v>
      </c>
      <c r="B1202">
        <v>453</v>
      </c>
      <c r="C1202" t="s">
        <v>72</v>
      </c>
      <c r="D1202" t="s">
        <v>784</v>
      </c>
      <c r="E1202">
        <v>2100</v>
      </c>
      <c r="F1202" t="s">
        <v>91</v>
      </c>
      <c r="G1202" t="s">
        <v>89</v>
      </c>
      <c r="H1202" t="s">
        <v>218</v>
      </c>
      <c r="I1202">
        <v>5290.97</v>
      </c>
      <c r="J1202">
        <v>0</v>
      </c>
      <c r="K1202" t="s">
        <v>785</v>
      </c>
      <c r="L1202" t="s">
        <v>229</v>
      </c>
      <c r="N1202" t="s">
        <v>195</v>
      </c>
    </row>
    <row r="1203" spans="1:14" x14ac:dyDescent="0.45">
      <c r="A1203">
        <v>1202</v>
      </c>
      <c r="B1203">
        <v>454</v>
      </c>
      <c r="C1203" t="s">
        <v>72</v>
      </c>
      <c r="D1203" t="s">
        <v>786</v>
      </c>
      <c r="E1203">
        <v>6030</v>
      </c>
      <c r="F1203" t="s">
        <v>123</v>
      </c>
      <c r="G1203" t="s">
        <v>117</v>
      </c>
      <c r="H1203" t="s">
        <v>218</v>
      </c>
      <c r="I1203">
        <v>7208</v>
      </c>
      <c r="J1203">
        <v>0</v>
      </c>
      <c r="K1203" t="s">
        <v>787</v>
      </c>
      <c r="L1203" t="s">
        <v>232</v>
      </c>
      <c r="N1203" t="s">
        <v>195</v>
      </c>
    </row>
    <row r="1204" spans="1:14" x14ac:dyDescent="0.45">
      <c r="A1204">
        <v>1203</v>
      </c>
      <c r="B1204">
        <v>454</v>
      </c>
      <c r="C1204" t="s">
        <v>72</v>
      </c>
      <c r="D1204" t="s">
        <v>786</v>
      </c>
      <c r="E1204">
        <v>1000</v>
      </c>
      <c r="F1204" t="s">
        <v>77</v>
      </c>
      <c r="G1204" t="s">
        <v>78</v>
      </c>
      <c r="H1204" t="s">
        <v>218</v>
      </c>
      <c r="I1204">
        <v>0</v>
      </c>
      <c r="J1204">
        <v>7208</v>
      </c>
      <c r="K1204" t="s">
        <v>787</v>
      </c>
      <c r="L1204" t="s">
        <v>232</v>
      </c>
      <c r="N1204" t="s">
        <v>195</v>
      </c>
    </row>
    <row r="1205" spans="1:14" x14ac:dyDescent="0.45">
      <c r="A1205">
        <v>1204</v>
      </c>
      <c r="B1205">
        <v>455</v>
      </c>
      <c r="C1205" t="s">
        <v>72</v>
      </c>
      <c r="D1205" t="s">
        <v>788</v>
      </c>
      <c r="E1205">
        <v>6040</v>
      </c>
      <c r="F1205" t="s">
        <v>125</v>
      </c>
      <c r="G1205" t="s">
        <v>117</v>
      </c>
      <c r="H1205" t="s">
        <v>218</v>
      </c>
      <c r="I1205">
        <v>3003.82</v>
      </c>
      <c r="J1205">
        <v>0</v>
      </c>
      <c r="K1205" t="s">
        <v>789</v>
      </c>
      <c r="L1205" t="s">
        <v>226</v>
      </c>
      <c r="N1205" t="s">
        <v>195</v>
      </c>
    </row>
    <row r="1206" spans="1:14" x14ac:dyDescent="0.45">
      <c r="A1206">
        <v>1205</v>
      </c>
      <c r="B1206">
        <v>455</v>
      </c>
      <c r="C1206" t="s">
        <v>72</v>
      </c>
      <c r="D1206" t="s">
        <v>788</v>
      </c>
      <c r="E1206">
        <v>1000</v>
      </c>
      <c r="F1206" t="s">
        <v>77</v>
      </c>
      <c r="G1206" t="s">
        <v>78</v>
      </c>
      <c r="H1206" t="s">
        <v>218</v>
      </c>
      <c r="I1206">
        <v>0</v>
      </c>
      <c r="J1206">
        <v>2403.06</v>
      </c>
      <c r="K1206" t="s">
        <v>789</v>
      </c>
      <c r="L1206" t="s">
        <v>226</v>
      </c>
      <c r="N1206" t="s">
        <v>195</v>
      </c>
    </row>
    <row r="1207" spans="1:14" x14ac:dyDescent="0.45">
      <c r="A1207">
        <v>1206</v>
      </c>
      <c r="B1207">
        <v>455</v>
      </c>
      <c r="C1207" t="s">
        <v>72</v>
      </c>
      <c r="D1207" t="s">
        <v>788</v>
      </c>
      <c r="E1207">
        <v>2000</v>
      </c>
      <c r="F1207" t="s">
        <v>88</v>
      </c>
      <c r="G1207" t="s">
        <v>89</v>
      </c>
      <c r="H1207" t="s">
        <v>218</v>
      </c>
      <c r="I1207">
        <v>0</v>
      </c>
      <c r="J1207">
        <v>600.76</v>
      </c>
      <c r="K1207" t="s">
        <v>789</v>
      </c>
      <c r="L1207" t="s">
        <v>226</v>
      </c>
      <c r="N1207" t="s">
        <v>195</v>
      </c>
    </row>
    <row r="1208" spans="1:14" x14ac:dyDescent="0.45">
      <c r="A1208">
        <v>1207</v>
      </c>
      <c r="B1208">
        <v>456</v>
      </c>
      <c r="C1208" t="s">
        <v>72</v>
      </c>
      <c r="D1208" t="s">
        <v>786</v>
      </c>
      <c r="E1208">
        <v>6050</v>
      </c>
      <c r="F1208" t="s">
        <v>127</v>
      </c>
      <c r="G1208" t="s">
        <v>117</v>
      </c>
      <c r="H1208" t="s">
        <v>218</v>
      </c>
      <c r="I1208">
        <v>1450</v>
      </c>
      <c r="J1208">
        <v>0</v>
      </c>
      <c r="K1208" t="s">
        <v>790</v>
      </c>
      <c r="L1208" t="s">
        <v>236</v>
      </c>
      <c r="N1208" t="s">
        <v>195</v>
      </c>
    </row>
    <row r="1209" spans="1:14" x14ac:dyDescent="0.45">
      <c r="A1209">
        <v>1208</v>
      </c>
      <c r="B1209">
        <v>456</v>
      </c>
      <c r="C1209" t="s">
        <v>72</v>
      </c>
      <c r="D1209" t="s">
        <v>786</v>
      </c>
      <c r="E1209">
        <v>1200</v>
      </c>
      <c r="F1209" t="s">
        <v>82</v>
      </c>
      <c r="G1209" t="s">
        <v>78</v>
      </c>
      <c r="H1209" t="s">
        <v>218</v>
      </c>
      <c r="I1209">
        <v>0</v>
      </c>
      <c r="J1209">
        <v>1450</v>
      </c>
      <c r="K1209" t="s">
        <v>790</v>
      </c>
      <c r="L1209" t="s">
        <v>236</v>
      </c>
      <c r="N1209" t="s">
        <v>195</v>
      </c>
    </row>
    <row r="1210" spans="1:14" x14ac:dyDescent="0.45">
      <c r="A1210">
        <v>1209</v>
      </c>
      <c r="B1210">
        <v>457</v>
      </c>
      <c r="C1210" t="s">
        <v>72</v>
      </c>
      <c r="D1210" t="s">
        <v>791</v>
      </c>
      <c r="E1210">
        <v>6060</v>
      </c>
      <c r="F1210" t="s">
        <v>129</v>
      </c>
      <c r="G1210" t="s">
        <v>117</v>
      </c>
      <c r="H1210" t="s">
        <v>218</v>
      </c>
      <c r="I1210">
        <v>2352</v>
      </c>
      <c r="J1210">
        <v>0</v>
      </c>
      <c r="K1210" t="s">
        <v>792</v>
      </c>
      <c r="L1210" t="s">
        <v>232</v>
      </c>
      <c r="N1210" t="s">
        <v>195</v>
      </c>
    </row>
    <row r="1211" spans="1:14" x14ac:dyDescent="0.45">
      <c r="A1211">
        <v>1210</v>
      </c>
      <c r="B1211">
        <v>457</v>
      </c>
      <c r="C1211" t="s">
        <v>72</v>
      </c>
      <c r="D1211" t="s">
        <v>791</v>
      </c>
      <c r="E1211">
        <v>1000</v>
      </c>
      <c r="F1211" t="s">
        <v>77</v>
      </c>
      <c r="G1211" t="s">
        <v>78</v>
      </c>
      <c r="H1211" t="s">
        <v>218</v>
      </c>
      <c r="I1211">
        <v>0</v>
      </c>
      <c r="J1211">
        <v>2352</v>
      </c>
      <c r="K1211" t="s">
        <v>792</v>
      </c>
      <c r="L1211" t="s">
        <v>232</v>
      </c>
      <c r="N1211" t="s">
        <v>195</v>
      </c>
    </row>
    <row r="1212" spans="1:14" x14ac:dyDescent="0.45">
      <c r="A1212">
        <v>1211</v>
      </c>
      <c r="B1212">
        <v>458</v>
      </c>
      <c r="C1212" t="s">
        <v>72</v>
      </c>
      <c r="D1212" t="s">
        <v>793</v>
      </c>
      <c r="E1212">
        <v>7000</v>
      </c>
      <c r="F1212" t="s">
        <v>133</v>
      </c>
      <c r="G1212" t="s">
        <v>117</v>
      </c>
      <c r="H1212" t="s">
        <v>218</v>
      </c>
      <c r="I1212">
        <v>1100</v>
      </c>
      <c r="J1212">
        <v>0</v>
      </c>
      <c r="K1212" t="s">
        <v>794</v>
      </c>
      <c r="L1212" t="s">
        <v>241</v>
      </c>
      <c r="N1212" t="s">
        <v>195</v>
      </c>
    </row>
    <row r="1213" spans="1:14" x14ac:dyDescent="0.45">
      <c r="A1213">
        <v>1212</v>
      </c>
      <c r="B1213">
        <v>458</v>
      </c>
      <c r="C1213" t="s">
        <v>72</v>
      </c>
      <c r="D1213" t="s">
        <v>793</v>
      </c>
      <c r="E1213">
        <v>1500</v>
      </c>
      <c r="F1213" t="s">
        <v>86</v>
      </c>
      <c r="G1213" t="s">
        <v>78</v>
      </c>
      <c r="H1213" t="s">
        <v>218</v>
      </c>
      <c r="I1213">
        <v>0</v>
      </c>
      <c r="J1213">
        <v>1100</v>
      </c>
      <c r="K1213" t="s">
        <v>794</v>
      </c>
      <c r="L1213" t="s">
        <v>241</v>
      </c>
      <c r="N1213" t="s">
        <v>195</v>
      </c>
    </row>
    <row r="1214" spans="1:14" x14ac:dyDescent="0.45">
      <c r="A1214">
        <v>1213</v>
      </c>
      <c r="B1214">
        <v>459</v>
      </c>
      <c r="C1214" t="s">
        <v>72</v>
      </c>
      <c r="D1214" t="s">
        <v>795</v>
      </c>
      <c r="E1214">
        <v>2000</v>
      </c>
      <c r="F1214" t="s">
        <v>88</v>
      </c>
      <c r="G1214" t="s">
        <v>89</v>
      </c>
      <c r="H1214" t="s">
        <v>218</v>
      </c>
      <c r="I1214">
        <v>3845.23</v>
      </c>
      <c r="J1214">
        <v>0</v>
      </c>
      <c r="K1214" t="s">
        <v>796</v>
      </c>
      <c r="L1214" t="s">
        <v>232</v>
      </c>
      <c r="N1214" t="s">
        <v>195</v>
      </c>
    </row>
    <row r="1215" spans="1:14" x14ac:dyDescent="0.45">
      <c r="A1215">
        <v>1214</v>
      </c>
      <c r="B1215">
        <v>459</v>
      </c>
      <c r="C1215" t="s">
        <v>72</v>
      </c>
      <c r="D1215" t="s">
        <v>795</v>
      </c>
      <c r="E1215">
        <v>1000</v>
      </c>
      <c r="F1215" t="s">
        <v>77</v>
      </c>
      <c r="G1215" t="s">
        <v>78</v>
      </c>
      <c r="H1215" t="s">
        <v>218</v>
      </c>
      <c r="I1215">
        <v>0</v>
      </c>
      <c r="J1215">
        <v>3845.23</v>
      </c>
      <c r="K1215" t="s">
        <v>796</v>
      </c>
      <c r="L1215" t="s">
        <v>232</v>
      </c>
      <c r="N1215" t="s">
        <v>195</v>
      </c>
    </row>
    <row r="1216" spans="1:14" x14ac:dyDescent="0.45">
      <c r="A1216">
        <v>1215</v>
      </c>
      <c r="B1216">
        <v>460</v>
      </c>
      <c r="C1216" t="s">
        <v>73</v>
      </c>
      <c r="D1216" t="s">
        <v>778</v>
      </c>
      <c r="E1216">
        <v>1100</v>
      </c>
      <c r="F1216" t="s">
        <v>80</v>
      </c>
      <c r="G1216" t="s">
        <v>78</v>
      </c>
      <c r="H1216" t="s">
        <v>218</v>
      </c>
      <c r="I1216">
        <v>71525.539999999994</v>
      </c>
      <c r="J1216">
        <v>0</v>
      </c>
      <c r="K1216" t="s">
        <v>797</v>
      </c>
      <c r="L1216" t="s">
        <v>220</v>
      </c>
      <c r="N1216" t="s">
        <v>195</v>
      </c>
    </row>
    <row r="1217" spans="1:14" x14ac:dyDescent="0.45">
      <c r="A1217">
        <v>1216</v>
      </c>
      <c r="B1217">
        <v>460</v>
      </c>
      <c r="C1217" t="s">
        <v>73</v>
      </c>
      <c r="D1217" t="s">
        <v>778</v>
      </c>
      <c r="E1217">
        <v>4010</v>
      </c>
      <c r="F1217" t="s">
        <v>101</v>
      </c>
      <c r="G1217" t="s">
        <v>99</v>
      </c>
      <c r="H1217" t="s">
        <v>218</v>
      </c>
      <c r="I1217">
        <v>0</v>
      </c>
      <c r="J1217">
        <v>30040.73</v>
      </c>
      <c r="K1217" t="s">
        <v>797</v>
      </c>
      <c r="L1217" t="s">
        <v>220</v>
      </c>
      <c r="N1217" t="s">
        <v>195</v>
      </c>
    </row>
    <row r="1218" spans="1:14" x14ac:dyDescent="0.45">
      <c r="A1218">
        <v>1217</v>
      </c>
      <c r="B1218">
        <v>460</v>
      </c>
      <c r="C1218" t="s">
        <v>73</v>
      </c>
      <c r="D1218" t="s">
        <v>778</v>
      </c>
      <c r="E1218">
        <v>4020</v>
      </c>
      <c r="F1218" t="s">
        <v>103</v>
      </c>
      <c r="G1218" t="s">
        <v>99</v>
      </c>
      <c r="H1218" t="s">
        <v>218</v>
      </c>
      <c r="I1218">
        <v>0</v>
      </c>
      <c r="J1218">
        <v>23603.43</v>
      </c>
      <c r="K1218" t="s">
        <v>797</v>
      </c>
      <c r="L1218" t="s">
        <v>220</v>
      </c>
      <c r="N1218" t="s">
        <v>195</v>
      </c>
    </row>
    <row r="1219" spans="1:14" x14ac:dyDescent="0.45">
      <c r="A1219">
        <v>1218</v>
      </c>
      <c r="B1219">
        <v>460</v>
      </c>
      <c r="C1219" t="s">
        <v>73</v>
      </c>
      <c r="D1219" t="s">
        <v>778</v>
      </c>
      <c r="E1219">
        <v>4030</v>
      </c>
      <c r="F1219" t="s">
        <v>105</v>
      </c>
      <c r="G1219" t="s">
        <v>99</v>
      </c>
      <c r="H1219" t="s">
        <v>218</v>
      </c>
      <c r="I1219">
        <v>0</v>
      </c>
      <c r="J1219">
        <v>17881.38</v>
      </c>
      <c r="K1219" t="s">
        <v>797</v>
      </c>
      <c r="L1219" t="s">
        <v>220</v>
      </c>
      <c r="N1219" t="s">
        <v>195</v>
      </c>
    </row>
    <row r="1220" spans="1:14" x14ac:dyDescent="0.45">
      <c r="A1220">
        <v>1219</v>
      </c>
      <c r="B1220">
        <v>461</v>
      </c>
      <c r="C1220" t="s">
        <v>73</v>
      </c>
      <c r="D1220" t="s">
        <v>780</v>
      </c>
      <c r="E1220">
        <v>1000</v>
      </c>
      <c r="F1220" t="s">
        <v>77</v>
      </c>
      <c r="G1220" t="s">
        <v>78</v>
      </c>
      <c r="H1220" t="s">
        <v>218</v>
      </c>
      <c r="I1220">
        <v>67695.03</v>
      </c>
      <c r="J1220">
        <v>0</v>
      </c>
      <c r="K1220" t="s">
        <v>798</v>
      </c>
      <c r="L1220" t="s">
        <v>223</v>
      </c>
      <c r="N1220" t="s">
        <v>195</v>
      </c>
    </row>
    <row r="1221" spans="1:14" x14ac:dyDescent="0.45">
      <c r="A1221">
        <v>1220</v>
      </c>
      <c r="B1221">
        <v>461</v>
      </c>
      <c r="C1221" t="s">
        <v>73</v>
      </c>
      <c r="D1221" t="s">
        <v>780</v>
      </c>
      <c r="E1221">
        <v>1100</v>
      </c>
      <c r="F1221" t="s">
        <v>80</v>
      </c>
      <c r="G1221" t="s">
        <v>78</v>
      </c>
      <c r="H1221" t="s">
        <v>218</v>
      </c>
      <c r="I1221">
        <v>0</v>
      </c>
      <c r="J1221">
        <v>67695.03</v>
      </c>
      <c r="K1221" t="s">
        <v>798</v>
      </c>
      <c r="L1221" t="s">
        <v>223</v>
      </c>
      <c r="N1221" t="s">
        <v>195</v>
      </c>
    </row>
    <row r="1222" spans="1:14" x14ac:dyDescent="0.45">
      <c r="A1222">
        <v>1221</v>
      </c>
      <c r="B1222">
        <v>462</v>
      </c>
      <c r="C1222" t="s">
        <v>73</v>
      </c>
      <c r="D1222" t="s">
        <v>782</v>
      </c>
      <c r="E1222">
        <v>5010</v>
      </c>
      <c r="F1222" t="s">
        <v>112</v>
      </c>
      <c r="G1222" t="s">
        <v>110</v>
      </c>
      <c r="H1222" t="s">
        <v>218</v>
      </c>
      <c r="I1222">
        <v>4062.18</v>
      </c>
      <c r="J1222">
        <v>0</v>
      </c>
      <c r="K1222" t="s">
        <v>799</v>
      </c>
      <c r="L1222" t="s">
        <v>226</v>
      </c>
      <c r="N1222" t="s">
        <v>195</v>
      </c>
    </row>
    <row r="1223" spans="1:14" x14ac:dyDescent="0.45">
      <c r="A1223">
        <v>1222</v>
      </c>
      <c r="B1223">
        <v>462</v>
      </c>
      <c r="C1223" t="s">
        <v>73</v>
      </c>
      <c r="D1223" t="s">
        <v>782</v>
      </c>
      <c r="E1223">
        <v>5020</v>
      </c>
      <c r="F1223" t="s">
        <v>114</v>
      </c>
      <c r="G1223" t="s">
        <v>110</v>
      </c>
      <c r="H1223" t="s">
        <v>218</v>
      </c>
      <c r="I1223">
        <v>3323.61</v>
      </c>
      <c r="J1223">
        <v>0</v>
      </c>
      <c r="K1223" t="s">
        <v>799</v>
      </c>
      <c r="L1223" t="s">
        <v>226</v>
      </c>
      <c r="N1223" t="s">
        <v>195</v>
      </c>
    </row>
    <row r="1224" spans="1:14" x14ac:dyDescent="0.45">
      <c r="A1224">
        <v>1223</v>
      </c>
      <c r="B1224">
        <v>462</v>
      </c>
      <c r="C1224" t="s">
        <v>73</v>
      </c>
      <c r="D1224" t="s">
        <v>782</v>
      </c>
      <c r="E1224">
        <v>1000</v>
      </c>
      <c r="F1224" t="s">
        <v>77</v>
      </c>
      <c r="G1224" t="s">
        <v>78</v>
      </c>
      <c r="H1224" t="s">
        <v>218</v>
      </c>
      <c r="I1224">
        <v>0</v>
      </c>
      <c r="J1224">
        <v>5170.05</v>
      </c>
      <c r="K1224" t="s">
        <v>799</v>
      </c>
      <c r="L1224" t="s">
        <v>226</v>
      </c>
      <c r="N1224" t="s">
        <v>195</v>
      </c>
    </row>
    <row r="1225" spans="1:14" x14ac:dyDescent="0.45">
      <c r="A1225">
        <v>1224</v>
      </c>
      <c r="B1225">
        <v>462</v>
      </c>
      <c r="C1225" t="s">
        <v>73</v>
      </c>
      <c r="D1225" t="s">
        <v>782</v>
      </c>
      <c r="E1225">
        <v>2000</v>
      </c>
      <c r="F1225" t="s">
        <v>88</v>
      </c>
      <c r="G1225" t="s">
        <v>89</v>
      </c>
      <c r="H1225" t="s">
        <v>218</v>
      </c>
      <c r="I1225">
        <v>0</v>
      </c>
      <c r="J1225">
        <v>2215.7399999999998</v>
      </c>
      <c r="K1225" t="s">
        <v>799</v>
      </c>
      <c r="L1225" t="s">
        <v>226</v>
      </c>
      <c r="N1225" t="s">
        <v>195</v>
      </c>
    </row>
    <row r="1226" spans="1:14" x14ac:dyDescent="0.45">
      <c r="A1226">
        <v>1225</v>
      </c>
      <c r="B1226">
        <v>463</v>
      </c>
      <c r="C1226" t="s">
        <v>73</v>
      </c>
      <c r="D1226" t="s">
        <v>784</v>
      </c>
      <c r="E1226">
        <v>6010</v>
      </c>
      <c r="F1226" t="s">
        <v>119</v>
      </c>
      <c r="G1226" t="s">
        <v>117</v>
      </c>
      <c r="H1226" t="s">
        <v>218</v>
      </c>
      <c r="I1226">
        <v>29080.48</v>
      </c>
      <c r="J1226">
        <v>0</v>
      </c>
      <c r="K1226" t="s">
        <v>800</v>
      </c>
      <c r="L1226" t="s">
        <v>229</v>
      </c>
      <c r="N1226" t="s">
        <v>195</v>
      </c>
    </row>
    <row r="1227" spans="1:14" x14ac:dyDescent="0.45">
      <c r="A1227">
        <v>1226</v>
      </c>
      <c r="B1227">
        <v>463</v>
      </c>
      <c r="C1227" t="s">
        <v>73</v>
      </c>
      <c r="D1227" t="s">
        <v>784</v>
      </c>
      <c r="E1227">
        <v>6020</v>
      </c>
      <c r="F1227" t="s">
        <v>121</v>
      </c>
      <c r="G1227" t="s">
        <v>117</v>
      </c>
      <c r="H1227" t="s">
        <v>218</v>
      </c>
      <c r="I1227">
        <v>4071.27</v>
      </c>
      <c r="J1227">
        <v>0</v>
      </c>
      <c r="K1227" t="s">
        <v>800</v>
      </c>
      <c r="L1227" t="s">
        <v>229</v>
      </c>
      <c r="N1227" t="s">
        <v>195</v>
      </c>
    </row>
    <row r="1228" spans="1:14" x14ac:dyDescent="0.45">
      <c r="A1228">
        <v>1227</v>
      </c>
      <c r="B1228">
        <v>463</v>
      </c>
      <c r="C1228" t="s">
        <v>73</v>
      </c>
      <c r="D1228" t="s">
        <v>784</v>
      </c>
      <c r="E1228">
        <v>1000</v>
      </c>
      <c r="F1228" t="s">
        <v>77</v>
      </c>
      <c r="G1228" t="s">
        <v>78</v>
      </c>
      <c r="H1228" t="s">
        <v>218</v>
      </c>
      <c r="I1228">
        <v>0</v>
      </c>
      <c r="J1228">
        <v>33116.980000000003</v>
      </c>
      <c r="K1228" t="s">
        <v>800</v>
      </c>
      <c r="L1228" t="s">
        <v>229</v>
      </c>
      <c r="N1228" t="s">
        <v>195</v>
      </c>
    </row>
    <row r="1229" spans="1:14" x14ac:dyDescent="0.45">
      <c r="A1229">
        <v>1228</v>
      </c>
      <c r="B1229">
        <v>463</v>
      </c>
      <c r="C1229" t="s">
        <v>73</v>
      </c>
      <c r="D1229" t="s">
        <v>784</v>
      </c>
      <c r="E1229">
        <v>2100</v>
      </c>
      <c r="F1229" t="s">
        <v>91</v>
      </c>
      <c r="G1229" t="s">
        <v>89</v>
      </c>
      <c r="H1229" t="s">
        <v>218</v>
      </c>
      <c r="I1229">
        <v>0</v>
      </c>
      <c r="J1229">
        <v>3315.17</v>
      </c>
      <c r="K1229" t="s">
        <v>800</v>
      </c>
      <c r="L1229" t="s">
        <v>229</v>
      </c>
      <c r="N1229" t="s">
        <v>195</v>
      </c>
    </row>
    <row r="1230" spans="1:14" x14ac:dyDescent="0.45">
      <c r="A1230">
        <v>1229</v>
      </c>
      <c r="B1230">
        <v>463</v>
      </c>
      <c r="C1230" t="s">
        <v>73</v>
      </c>
      <c r="D1230" t="s">
        <v>784</v>
      </c>
      <c r="E1230">
        <v>2100</v>
      </c>
      <c r="F1230" t="s">
        <v>91</v>
      </c>
      <c r="G1230" t="s">
        <v>89</v>
      </c>
      <c r="H1230" t="s">
        <v>218</v>
      </c>
      <c r="I1230">
        <v>3280.4</v>
      </c>
      <c r="J1230">
        <v>0</v>
      </c>
      <c r="K1230" t="s">
        <v>800</v>
      </c>
      <c r="L1230" t="s">
        <v>229</v>
      </c>
      <c r="N1230" t="s">
        <v>195</v>
      </c>
    </row>
    <row r="1231" spans="1:14" x14ac:dyDescent="0.45">
      <c r="A1231">
        <v>1230</v>
      </c>
      <c r="B1231">
        <v>464</v>
      </c>
      <c r="C1231" t="s">
        <v>73</v>
      </c>
      <c r="D1231" t="s">
        <v>786</v>
      </c>
      <c r="E1231">
        <v>6030</v>
      </c>
      <c r="F1231" t="s">
        <v>123</v>
      </c>
      <c r="G1231" t="s">
        <v>117</v>
      </c>
      <c r="H1231" t="s">
        <v>218</v>
      </c>
      <c r="I1231">
        <v>4468.96</v>
      </c>
      <c r="J1231">
        <v>0</v>
      </c>
      <c r="K1231" t="s">
        <v>801</v>
      </c>
      <c r="L1231" t="s">
        <v>232</v>
      </c>
      <c r="N1231" t="s">
        <v>195</v>
      </c>
    </row>
    <row r="1232" spans="1:14" x14ac:dyDescent="0.45">
      <c r="A1232">
        <v>1231</v>
      </c>
      <c r="B1232">
        <v>464</v>
      </c>
      <c r="C1232" t="s">
        <v>73</v>
      </c>
      <c r="D1232" t="s">
        <v>786</v>
      </c>
      <c r="E1232">
        <v>1000</v>
      </c>
      <c r="F1232" t="s">
        <v>77</v>
      </c>
      <c r="G1232" t="s">
        <v>78</v>
      </c>
      <c r="H1232" t="s">
        <v>218</v>
      </c>
      <c r="I1232">
        <v>0</v>
      </c>
      <c r="J1232">
        <v>4468.96</v>
      </c>
      <c r="K1232" t="s">
        <v>801</v>
      </c>
      <c r="L1232" t="s">
        <v>232</v>
      </c>
      <c r="N1232" t="s">
        <v>195</v>
      </c>
    </row>
    <row r="1233" spans="1:14" x14ac:dyDescent="0.45">
      <c r="A1233">
        <v>1232</v>
      </c>
      <c r="B1233">
        <v>465</v>
      </c>
      <c r="C1233" t="s">
        <v>73</v>
      </c>
      <c r="D1233" t="s">
        <v>788</v>
      </c>
      <c r="E1233">
        <v>6040</v>
      </c>
      <c r="F1233" t="s">
        <v>125</v>
      </c>
      <c r="G1233" t="s">
        <v>117</v>
      </c>
      <c r="H1233" t="s">
        <v>218</v>
      </c>
      <c r="I1233">
        <v>2174.69</v>
      </c>
      <c r="J1233">
        <v>0</v>
      </c>
      <c r="K1233" t="s">
        <v>802</v>
      </c>
      <c r="L1233" t="s">
        <v>226</v>
      </c>
      <c r="N1233" t="s">
        <v>195</v>
      </c>
    </row>
    <row r="1234" spans="1:14" x14ac:dyDescent="0.45">
      <c r="A1234">
        <v>1233</v>
      </c>
      <c r="B1234">
        <v>465</v>
      </c>
      <c r="C1234" t="s">
        <v>73</v>
      </c>
      <c r="D1234" t="s">
        <v>788</v>
      </c>
      <c r="E1234">
        <v>1000</v>
      </c>
      <c r="F1234" t="s">
        <v>77</v>
      </c>
      <c r="G1234" t="s">
        <v>78</v>
      </c>
      <c r="H1234" t="s">
        <v>218</v>
      </c>
      <c r="I1234">
        <v>0</v>
      </c>
      <c r="J1234">
        <v>1739.75</v>
      </c>
      <c r="K1234" t="s">
        <v>802</v>
      </c>
      <c r="L1234" t="s">
        <v>226</v>
      </c>
      <c r="N1234" t="s">
        <v>195</v>
      </c>
    </row>
    <row r="1235" spans="1:14" x14ac:dyDescent="0.45">
      <c r="A1235">
        <v>1234</v>
      </c>
      <c r="B1235">
        <v>465</v>
      </c>
      <c r="C1235" t="s">
        <v>73</v>
      </c>
      <c r="D1235" t="s">
        <v>788</v>
      </c>
      <c r="E1235">
        <v>2000</v>
      </c>
      <c r="F1235" t="s">
        <v>88</v>
      </c>
      <c r="G1235" t="s">
        <v>89</v>
      </c>
      <c r="H1235" t="s">
        <v>218</v>
      </c>
      <c r="I1235">
        <v>0</v>
      </c>
      <c r="J1235">
        <v>434.94</v>
      </c>
      <c r="K1235" t="s">
        <v>802</v>
      </c>
      <c r="L1235" t="s">
        <v>226</v>
      </c>
      <c r="N1235" t="s">
        <v>195</v>
      </c>
    </row>
    <row r="1236" spans="1:14" x14ac:dyDescent="0.45">
      <c r="A1236">
        <v>1235</v>
      </c>
      <c r="B1236">
        <v>466</v>
      </c>
      <c r="C1236" t="s">
        <v>73</v>
      </c>
      <c r="D1236" t="s">
        <v>786</v>
      </c>
      <c r="E1236">
        <v>6050</v>
      </c>
      <c r="F1236" t="s">
        <v>127</v>
      </c>
      <c r="G1236" t="s">
        <v>117</v>
      </c>
      <c r="H1236" t="s">
        <v>218</v>
      </c>
      <c r="I1236">
        <v>899</v>
      </c>
      <c r="J1236">
        <v>0</v>
      </c>
      <c r="K1236" t="s">
        <v>803</v>
      </c>
      <c r="L1236" t="s">
        <v>236</v>
      </c>
      <c r="N1236" t="s">
        <v>195</v>
      </c>
    </row>
    <row r="1237" spans="1:14" x14ac:dyDescent="0.45">
      <c r="A1237">
        <v>1236</v>
      </c>
      <c r="B1237">
        <v>466</v>
      </c>
      <c r="C1237" t="s">
        <v>73</v>
      </c>
      <c r="D1237" t="s">
        <v>786</v>
      </c>
      <c r="E1237">
        <v>1200</v>
      </c>
      <c r="F1237" t="s">
        <v>82</v>
      </c>
      <c r="G1237" t="s">
        <v>78</v>
      </c>
      <c r="H1237" t="s">
        <v>218</v>
      </c>
      <c r="I1237">
        <v>0</v>
      </c>
      <c r="J1237">
        <v>899</v>
      </c>
      <c r="K1237" t="s">
        <v>803</v>
      </c>
      <c r="L1237" t="s">
        <v>236</v>
      </c>
      <c r="N1237" t="s">
        <v>195</v>
      </c>
    </row>
    <row r="1238" spans="1:14" x14ac:dyDescent="0.45">
      <c r="A1238">
        <v>1237</v>
      </c>
      <c r="B1238">
        <v>467</v>
      </c>
      <c r="C1238" t="s">
        <v>73</v>
      </c>
      <c r="D1238" t="s">
        <v>791</v>
      </c>
      <c r="E1238">
        <v>6060</v>
      </c>
      <c r="F1238" t="s">
        <v>129</v>
      </c>
      <c r="G1238" t="s">
        <v>117</v>
      </c>
      <c r="H1238" t="s">
        <v>218</v>
      </c>
      <c r="I1238">
        <v>1458.24</v>
      </c>
      <c r="J1238">
        <v>0</v>
      </c>
      <c r="K1238" t="s">
        <v>804</v>
      </c>
      <c r="L1238" t="s">
        <v>232</v>
      </c>
      <c r="N1238" t="s">
        <v>195</v>
      </c>
    </row>
    <row r="1239" spans="1:14" x14ac:dyDescent="0.45">
      <c r="A1239">
        <v>1238</v>
      </c>
      <c r="B1239">
        <v>467</v>
      </c>
      <c r="C1239" t="s">
        <v>73</v>
      </c>
      <c r="D1239" t="s">
        <v>791</v>
      </c>
      <c r="E1239">
        <v>1000</v>
      </c>
      <c r="F1239" t="s">
        <v>77</v>
      </c>
      <c r="G1239" t="s">
        <v>78</v>
      </c>
      <c r="H1239" t="s">
        <v>218</v>
      </c>
      <c r="I1239">
        <v>0</v>
      </c>
      <c r="J1239">
        <v>1458.24</v>
      </c>
      <c r="K1239" t="s">
        <v>804</v>
      </c>
      <c r="L1239" t="s">
        <v>232</v>
      </c>
      <c r="N1239" t="s">
        <v>195</v>
      </c>
    </row>
    <row r="1240" spans="1:14" x14ac:dyDescent="0.45">
      <c r="A1240">
        <v>1239</v>
      </c>
      <c r="B1240">
        <v>468</v>
      </c>
      <c r="C1240" t="s">
        <v>73</v>
      </c>
      <c r="D1240" t="s">
        <v>793</v>
      </c>
      <c r="E1240">
        <v>7000</v>
      </c>
      <c r="F1240" t="s">
        <v>133</v>
      </c>
      <c r="G1240" t="s">
        <v>117</v>
      </c>
      <c r="H1240" t="s">
        <v>218</v>
      </c>
      <c r="I1240">
        <v>682</v>
      </c>
      <c r="J1240">
        <v>0</v>
      </c>
      <c r="K1240" t="s">
        <v>805</v>
      </c>
      <c r="L1240" t="s">
        <v>241</v>
      </c>
      <c r="N1240" t="s">
        <v>195</v>
      </c>
    </row>
    <row r="1241" spans="1:14" x14ac:dyDescent="0.45">
      <c r="A1241">
        <v>1240</v>
      </c>
      <c r="B1241">
        <v>468</v>
      </c>
      <c r="C1241" t="s">
        <v>73</v>
      </c>
      <c r="D1241" t="s">
        <v>793</v>
      </c>
      <c r="E1241">
        <v>1500</v>
      </c>
      <c r="F1241" t="s">
        <v>86</v>
      </c>
      <c r="G1241" t="s">
        <v>78</v>
      </c>
      <c r="H1241" t="s">
        <v>218</v>
      </c>
      <c r="I1241">
        <v>0</v>
      </c>
      <c r="J1241">
        <v>682</v>
      </c>
      <c r="K1241" t="s">
        <v>805</v>
      </c>
      <c r="L1241" t="s">
        <v>241</v>
      </c>
      <c r="N1241" t="s">
        <v>195</v>
      </c>
    </row>
    <row r="1242" spans="1:14" x14ac:dyDescent="0.45">
      <c r="A1242">
        <v>1241</v>
      </c>
      <c r="B1242">
        <v>469</v>
      </c>
      <c r="C1242" t="s">
        <v>73</v>
      </c>
      <c r="D1242" t="s">
        <v>795</v>
      </c>
      <c r="E1242">
        <v>2000</v>
      </c>
      <c r="F1242" t="s">
        <v>88</v>
      </c>
      <c r="G1242" t="s">
        <v>89</v>
      </c>
      <c r="H1242" t="s">
        <v>218</v>
      </c>
      <c r="I1242">
        <v>2491.12</v>
      </c>
      <c r="J1242">
        <v>0</v>
      </c>
      <c r="K1242" t="s">
        <v>806</v>
      </c>
      <c r="L1242" t="s">
        <v>232</v>
      </c>
      <c r="N1242" t="s">
        <v>195</v>
      </c>
    </row>
    <row r="1243" spans="1:14" x14ac:dyDescent="0.45">
      <c r="A1243">
        <v>1242</v>
      </c>
      <c r="B1243">
        <v>469</v>
      </c>
      <c r="C1243" t="s">
        <v>73</v>
      </c>
      <c r="D1243" t="s">
        <v>795</v>
      </c>
      <c r="E1243">
        <v>1000</v>
      </c>
      <c r="F1243" t="s">
        <v>77</v>
      </c>
      <c r="G1243" t="s">
        <v>78</v>
      </c>
      <c r="H1243" t="s">
        <v>218</v>
      </c>
      <c r="I1243">
        <v>0</v>
      </c>
      <c r="J1243">
        <v>2491.12</v>
      </c>
      <c r="K1243" t="s">
        <v>806</v>
      </c>
      <c r="L1243" t="s">
        <v>232</v>
      </c>
      <c r="N1243" t="s">
        <v>195</v>
      </c>
    </row>
    <row r="1244" spans="1:14" x14ac:dyDescent="0.45">
      <c r="A1244">
        <v>1243</v>
      </c>
      <c r="B1244">
        <v>470</v>
      </c>
      <c r="C1244" t="s">
        <v>74</v>
      </c>
      <c r="D1244" t="s">
        <v>778</v>
      </c>
      <c r="E1244">
        <v>1100</v>
      </c>
      <c r="F1244" t="s">
        <v>80</v>
      </c>
      <c r="G1244" t="s">
        <v>78</v>
      </c>
      <c r="H1244" t="s">
        <v>218</v>
      </c>
      <c r="I1244">
        <v>61850.400000000001</v>
      </c>
      <c r="J1244">
        <v>0</v>
      </c>
      <c r="K1244" t="s">
        <v>807</v>
      </c>
      <c r="L1244" t="s">
        <v>220</v>
      </c>
      <c r="N1244" t="s">
        <v>195</v>
      </c>
    </row>
    <row r="1245" spans="1:14" x14ac:dyDescent="0.45">
      <c r="A1245">
        <v>1244</v>
      </c>
      <c r="B1245">
        <v>470</v>
      </c>
      <c r="C1245" t="s">
        <v>74</v>
      </c>
      <c r="D1245" t="s">
        <v>778</v>
      </c>
      <c r="E1245">
        <v>4010</v>
      </c>
      <c r="F1245" t="s">
        <v>101</v>
      </c>
      <c r="G1245" t="s">
        <v>99</v>
      </c>
      <c r="H1245" t="s">
        <v>218</v>
      </c>
      <c r="I1245">
        <v>0</v>
      </c>
      <c r="J1245">
        <v>25977.17</v>
      </c>
      <c r="K1245" t="s">
        <v>807</v>
      </c>
      <c r="L1245" t="s">
        <v>220</v>
      </c>
      <c r="N1245" t="s">
        <v>195</v>
      </c>
    </row>
    <row r="1246" spans="1:14" x14ac:dyDescent="0.45">
      <c r="A1246">
        <v>1245</v>
      </c>
      <c r="B1246">
        <v>470</v>
      </c>
      <c r="C1246" t="s">
        <v>74</v>
      </c>
      <c r="D1246" t="s">
        <v>778</v>
      </c>
      <c r="E1246">
        <v>4020</v>
      </c>
      <c r="F1246" t="s">
        <v>103</v>
      </c>
      <c r="G1246" t="s">
        <v>99</v>
      </c>
      <c r="H1246" t="s">
        <v>218</v>
      </c>
      <c r="I1246">
        <v>0</v>
      </c>
      <c r="J1246">
        <v>20410.63</v>
      </c>
      <c r="K1246" t="s">
        <v>807</v>
      </c>
      <c r="L1246" t="s">
        <v>220</v>
      </c>
      <c r="N1246" t="s">
        <v>195</v>
      </c>
    </row>
    <row r="1247" spans="1:14" x14ac:dyDescent="0.45">
      <c r="A1247">
        <v>1246</v>
      </c>
      <c r="B1247">
        <v>470</v>
      </c>
      <c r="C1247" t="s">
        <v>74</v>
      </c>
      <c r="D1247" t="s">
        <v>778</v>
      </c>
      <c r="E1247">
        <v>4030</v>
      </c>
      <c r="F1247" t="s">
        <v>105</v>
      </c>
      <c r="G1247" t="s">
        <v>99</v>
      </c>
      <c r="H1247" t="s">
        <v>218</v>
      </c>
      <c r="I1247">
        <v>0</v>
      </c>
      <c r="J1247">
        <v>15462.6</v>
      </c>
      <c r="K1247" t="s">
        <v>807</v>
      </c>
      <c r="L1247" t="s">
        <v>220</v>
      </c>
      <c r="N1247" t="s">
        <v>195</v>
      </c>
    </row>
    <row r="1248" spans="1:14" x14ac:dyDescent="0.45">
      <c r="A1248">
        <v>1247</v>
      </c>
      <c r="B1248">
        <v>471</v>
      </c>
      <c r="C1248" t="s">
        <v>74</v>
      </c>
      <c r="D1248" t="s">
        <v>780</v>
      </c>
      <c r="E1248">
        <v>1000</v>
      </c>
      <c r="F1248" t="s">
        <v>77</v>
      </c>
      <c r="G1248" t="s">
        <v>78</v>
      </c>
      <c r="H1248" t="s">
        <v>218</v>
      </c>
      <c r="I1248">
        <v>54811.74</v>
      </c>
      <c r="J1248">
        <v>0</v>
      </c>
      <c r="K1248" t="s">
        <v>808</v>
      </c>
      <c r="L1248" t="s">
        <v>223</v>
      </c>
      <c r="N1248" t="s">
        <v>195</v>
      </c>
    </row>
    <row r="1249" spans="1:14" x14ac:dyDescent="0.45">
      <c r="A1249">
        <v>1248</v>
      </c>
      <c r="B1249">
        <v>471</v>
      </c>
      <c r="C1249" t="s">
        <v>74</v>
      </c>
      <c r="D1249" t="s">
        <v>780</v>
      </c>
      <c r="E1249">
        <v>1100</v>
      </c>
      <c r="F1249" t="s">
        <v>80</v>
      </c>
      <c r="G1249" t="s">
        <v>78</v>
      </c>
      <c r="H1249" t="s">
        <v>218</v>
      </c>
      <c r="I1249">
        <v>0</v>
      </c>
      <c r="J1249">
        <v>54811.74</v>
      </c>
      <c r="K1249" t="s">
        <v>808</v>
      </c>
      <c r="L1249" t="s">
        <v>223</v>
      </c>
      <c r="N1249" t="s">
        <v>195</v>
      </c>
    </row>
    <row r="1250" spans="1:14" x14ac:dyDescent="0.45">
      <c r="A1250">
        <v>1249</v>
      </c>
      <c r="B1250">
        <v>472</v>
      </c>
      <c r="C1250" t="s">
        <v>74</v>
      </c>
      <c r="D1250" t="s">
        <v>782</v>
      </c>
      <c r="E1250">
        <v>5010</v>
      </c>
      <c r="F1250" t="s">
        <v>112</v>
      </c>
      <c r="G1250" t="s">
        <v>110</v>
      </c>
      <c r="H1250" t="s">
        <v>218</v>
      </c>
      <c r="I1250">
        <v>3512.7</v>
      </c>
      <c r="J1250">
        <v>0</v>
      </c>
      <c r="K1250" t="s">
        <v>809</v>
      </c>
      <c r="L1250" t="s">
        <v>226</v>
      </c>
      <c r="N1250" t="s">
        <v>195</v>
      </c>
    </row>
    <row r="1251" spans="1:14" x14ac:dyDescent="0.45">
      <c r="A1251">
        <v>1250</v>
      </c>
      <c r="B1251">
        <v>472</v>
      </c>
      <c r="C1251" t="s">
        <v>74</v>
      </c>
      <c r="D1251" t="s">
        <v>782</v>
      </c>
      <c r="E1251">
        <v>5020</v>
      </c>
      <c r="F1251" t="s">
        <v>114</v>
      </c>
      <c r="G1251" t="s">
        <v>110</v>
      </c>
      <c r="H1251" t="s">
        <v>218</v>
      </c>
      <c r="I1251">
        <v>2874.03</v>
      </c>
      <c r="J1251">
        <v>0</v>
      </c>
      <c r="K1251" t="s">
        <v>809</v>
      </c>
      <c r="L1251" t="s">
        <v>226</v>
      </c>
      <c r="N1251" t="s">
        <v>195</v>
      </c>
    </row>
    <row r="1252" spans="1:14" x14ac:dyDescent="0.45">
      <c r="A1252">
        <v>1251</v>
      </c>
      <c r="B1252">
        <v>472</v>
      </c>
      <c r="C1252" t="s">
        <v>74</v>
      </c>
      <c r="D1252" t="s">
        <v>782</v>
      </c>
      <c r="E1252">
        <v>1000</v>
      </c>
      <c r="F1252" t="s">
        <v>77</v>
      </c>
      <c r="G1252" t="s">
        <v>78</v>
      </c>
      <c r="H1252" t="s">
        <v>218</v>
      </c>
      <c r="I1252">
        <v>0</v>
      </c>
      <c r="J1252">
        <v>4470.71</v>
      </c>
      <c r="K1252" t="s">
        <v>809</v>
      </c>
      <c r="L1252" t="s">
        <v>226</v>
      </c>
      <c r="N1252" t="s">
        <v>195</v>
      </c>
    </row>
    <row r="1253" spans="1:14" x14ac:dyDescent="0.45">
      <c r="A1253">
        <v>1252</v>
      </c>
      <c r="B1253">
        <v>472</v>
      </c>
      <c r="C1253" t="s">
        <v>74</v>
      </c>
      <c r="D1253" t="s">
        <v>782</v>
      </c>
      <c r="E1253">
        <v>2000</v>
      </c>
      <c r="F1253" t="s">
        <v>88</v>
      </c>
      <c r="G1253" t="s">
        <v>89</v>
      </c>
      <c r="H1253" t="s">
        <v>218</v>
      </c>
      <c r="I1253">
        <v>0</v>
      </c>
      <c r="J1253">
        <v>1916.02</v>
      </c>
      <c r="K1253" t="s">
        <v>809</v>
      </c>
      <c r="L1253" t="s">
        <v>226</v>
      </c>
      <c r="N1253" t="s">
        <v>195</v>
      </c>
    </row>
    <row r="1254" spans="1:14" x14ac:dyDescent="0.45">
      <c r="A1254">
        <v>1253</v>
      </c>
      <c r="B1254">
        <v>473</v>
      </c>
      <c r="C1254" t="s">
        <v>74</v>
      </c>
      <c r="D1254" t="s">
        <v>784</v>
      </c>
      <c r="E1254">
        <v>6010</v>
      </c>
      <c r="F1254" t="s">
        <v>119</v>
      </c>
      <c r="G1254" t="s">
        <v>117</v>
      </c>
      <c r="H1254" t="s">
        <v>218</v>
      </c>
      <c r="I1254">
        <v>25797.200000000001</v>
      </c>
      <c r="J1254">
        <v>0</v>
      </c>
      <c r="K1254" t="s">
        <v>810</v>
      </c>
      <c r="L1254" t="s">
        <v>229</v>
      </c>
      <c r="N1254" t="s">
        <v>195</v>
      </c>
    </row>
    <row r="1255" spans="1:14" x14ac:dyDescent="0.45">
      <c r="A1255">
        <v>1254</v>
      </c>
      <c r="B1255">
        <v>473</v>
      </c>
      <c r="C1255" t="s">
        <v>74</v>
      </c>
      <c r="D1255" t="s">
        <v>784</v>
      </c>
      <c r="E1255">
        <v>6020</v>
      </c>
      <c r="F1255" t="s">
        <v>121</v>
      </c>
      <c r="G1255" t="s">
        <v>117</v>
      </c>
      <c r="H1255" t="s">
        <v>218</v>
      </c>
      <c r="I1255">
        <v>3611.61</v>
      </c>
      <c r="J1255">
        <v>0</v>
      </c>
      <c r="K1255" t="s">
        <v>810</v>
      </c>
      <c r="L1255" t="s">
        <v>229</v>
      </c>
      <c r="N1255" t="s">
        <v>195</v>
      </c>
    </row>
    <row r="1256" spans="1:14" x14ac:dyDescent="0.45">
      <c r="A1256">
        <v>1255</v>
      </c>
      <c r="B1256">
        <v>473</v>
      </c>
      <c r="C1256" t="s">
        <v>74</v>
      </c>
      <c r="D1256" t="s">
        <v>784</v>
      </c>
      <c r="E1256">
        <v>1000</v>
      </c>
      <c r="F1256" t="s">
        <v>77</v>
      </c>
      <c r="G1256" t="s">
        <v>78</v>
      </c>
      <c r="H1256" t="s">
        <v>218</v>
      </c>
      <c r="I1256">
        <v>0</v>
      </c>
      <c r="J1256">
        <v>29377.96</v>
      </c>
      <c r="K1256" t="s">
        <v>810</v>
      </c>
      <c r="L1256" t="s">
        <v>229</v>
      </c>
      <c r="N1256" t="s">
        <v>195</v>
      </c>
    </row>
    <row r="1257" spans="1:14" x14ac:dyDescent="0.45">
      <c r="A1257">
        <v>1256</v>
      </c>
      <c r="B1257">
        <v>473</v>
      </c>
      <c r="C1257" t="s">
        <v>74</v>
      </c>
      <c r="D1257" t="s">
        <v>784</v>
      </c>
      <c r="E1257">
        <v>2100</v>
      </c>
      <c r="F1257" t="s">
        <v>91</v>
      </c>
      <c r="G1257" t="s">
        <v>89</v>
      </c>
      <c r="H1257" t="s">
        <v>218</v>
      </c>
      <c r="I1257">
        <v>0</v>
      </c>
      <c r="J1257">
        <v>2940.88</v>
      </c>
      <c r="K1257" t="s">
        <v>810</v>
      </c>
      <c r="L1257" t="s">
        <v>229</v>
      </c>
      <c r="N1257" t="s">
        <v>195</v>
      </c>
    </row>
    <row r="1258" spans="1:14" x14ac:dyDescent="0.45">
      <c r="A1258">
        <v>1257</v>
      </c>
      <c r="B1258">
        <v>473</v>
      </c>
      <c r="C1258" t="s">
        <v>74</v>
      </c>
      <c r="D1258" t="s">
        <v>784</v>
      </c>
      <c r="E1258">
        <v>2100</v>
      </c>
      <c r="F1258" t="s">
        <v>91</v>
      </c>
      <c r="G1258" t="s">
        <v>89</v>
      </c>
      <c r="H1258" t="s">
        <v>218</v>
      </c>
      <c r="I1258">
        <v>2910.03</v>
      </c>
      <c r="J1258">
        <v>0</v>
      </c>
      <c r="K1258" t="s">
        <v>810</v>
      </c>
      <c r="L1258" t="s">
        <v>229</v>
      </c>
      <c r="N1258" t="s">
        <v>195</v>
      </c>
    </row>
    <row r="1259" spans="1:14" x14ac:dyDescent="0.45">
      <c r="A1259">
        <v>1258</v>
      </c>
      <c r="B1259">
        <v>474</v>
      </c>
      <c r="C1259" t="s">
        <v>74</v>
      </c>
      <c r="D1259" t="s">
        <v>786</v>
      </c>
      <c r="E1259">
        <v>6030</v>
      </c>
      <c r="F1259" t="s">
        <v>123</v>
      </c>
      <c r="G1259" t="s">
        <v>117</v>
      </c>
      <c r="H1259" t="s">
        <v>218</v>
      </c>
      <c r="I1259">
        <v>3964.4</v>
      </c>
      <c r="J1259">
        <v>0</v>
      </c>
      <c r="K1259" t="s">
        <v>811</v>
      </c>
      <c r="L1259" t="s">
        <v>232</v>
      </c>
      <c r="N1259" t="s">
        <v>195</v>
      </c>
    </row>
    <row r="1260" spans="1:14" x14ac:dyDescent="0.45">
      <c r="A1260">
        <v>1259</v>
      </c>
      <c r="B1260">
        <v>474</v>
      </c>
      <c r="C1260" t="s">
        <v>74</v>
      </c>
      <c r="D1260" t="s">
        <v>786</v>
      </c>
      <c r="E1260">
        <v>1000</v>
      </c>
      <c r="F1260" t="s">
        <v>77</v>
      </c>
      <c r="G1260" t="s">
        <v>78</v>
      </c>
      <c r="H1260" t="s">
        <v>218</v>
      </c>
      <c r="I1260">
        <v>0</v>
      </c>
      <c r="J1260">
        <v>3964.4</v>
      </c>
      <c r="K1260" t="s">
        <v>811</v>
      </c>
      <c r="L1260" t="s">
        <v>232</v>
      </c>
      <c r="N1260" t="s">
        <v>195</v>
      </c>
    </row>
    <row r="1261" spans="1:14" x14ac:dyDescent="0.45">
      <c r="A1261">
        <v>1260</v>
      </c>
      <c r="B1261">
        <v>475</v>
      </c>
      <c r="C1261" t="s">
        <v>74</v>
      </c>
      <c r="D1261" t="s">
        <v>788</v>
      </c>
      <c r="E1261">
        <v>6040</v>
      </c>
      <c r="F1261" t="s">
        <v>125</v>
      </c>
      <c r="G1261" t="s">
        <v>117</v>
      </c>
      <c r="H1261" t="s">
        <v>218</v>
      </c>
      <c r="I1261">
        <v>1880.52</v>
      </c>
      <c r="J1261">
        <v>0</v>
      </c>
      <c r="K1261" t="s">
        <v>812</v>
      </c>
      <c r="L1261" t="s">
        <v>226</v>
      </c>
      <c r="N1261" t="s">
        <v>195</v>
      </c>
    </row>
    <row r="1262" spans="1:14" x14ac:dyDescent="0.45">
      <c r="A1262">
        <v>1261</v>
      </c>
      <c r="B1262">
        <v>475</v>
      </c>
      <c r="C1262" t="s">
        <v>74</v>
      </c>
      <c r="D1262" t="s">
        <v>788</v>
      </c>
      <c r="E1262">
        <v>1000</v>
      </c>
      <c r="F1262" t="s">
        <v>77</v>
      </c>
      <c r="G1262" t="s">
        <v>78</v>
      </c>
      <c r="H1262" t="s">
        <v>218</v>
      </c>
      <c r="I1262">
        <v>0</v>
      </c>
      <c r="J1262">
        <v>1504.42</v>
      </c>
      <c r="K1262" t="s">
        <v>812</v>
      </c>
      <c r="L1262" t="s">
        <v>226</v>
      </c>
      <c r="N1262" t="s">
        <v>195</v>
      </c>
    </row>
    <row r="1263" spans="1:14" x14ac:dyDescent="0.45">
      <c r="A1263">
        <v>1262</v>
      </c>
      <c r="B1263">
        <v>475</v>
      </c>
      <c r="C1263" t="s">
        <v>74</v>
      </c>
      <c r="D1263" t="s">
        <v>788</v>
      </c>
      <c r="E1263">
        <v>2000</v>
      </c>
      <c r="F1263" t="s">
        <v>88</v>
      </c>
      <c r="G1263" t="s">
        <v>89</v>
      </c>
      <c r="H1263" t="s">
        <v>218</v>
      </c>
      <c r="I1263">
        <v>0</v>
      </c>
      <c r="J1263">
        <v>376.1</v>
      </c>
      <c r="K1263" t="s">
        <v>812</v>
      </c>
      <c r="L1263" t="s">
        <v>226</v>
      </c>
      <c r="N1263" t="s">
        <v>195</v>
      </c>
    </row>
    <row r="1264" spans="1:14" x14ac:dyDescent="0.45">
      <c r="A1264">
        <v>1263</v>
      </c>
      <c r="B1264">
        <v>476</v>
      </c>
      <c r="C1264" t="s">
        <v>74</v>
      </c>
      <c r="D1264" t="s">
        <v>786</v>
      </c>
      <c r="E1264">
        <v>6050</v>
      </c>
      <c r="F1264" t="s">
        <v>127</v>
      </c>
      <c r="G1264" t="s">
        <v>117</v>
      </c>
      <c r="H1264" t="s">
        <v>218</v>
      </c>
      <c r="I1264">
        <v>797.5</v>
      </c>
      <c r="J1264">
        <v>0</v>
      </c>
      <c r="K1264" t="s">
        <v>813</v>
      </c>
      <c r="L1264" t="s">
        <v>236</v>
      </c>
      <c r="N1264" t="s">
        <v>195</v>
      </c>
    </row>
    <row r="1265" spans="1:14" x14ac:dyDescent="0.45">
      <c r="A1265">
        <v>1264</v>
      </c>
      <c r="B1265">
        <v>476</v>
      </c>
      <c r="C1265" t="s">
        <v>74</v>
      </c>
      <c r="D1265" t="s">
        <v>786</v>
      </c>
      <c r="E1265">
        <v>1200</v>
      </c>
      <c r="F1265" t="s">
        <v>82</v>
      </c>
      <c r="G1265" t="s">
        <v>78</v>
      </c>
      <c r="H1265" t="s">
        <v>218</v>
      </c>
      <c r="I1265">
        <v>0</v>
      </c>
      <c r="J1265">
        <v>797.5</v>
      </c>
      <c r="K1265" t="s">
        <v>813</v>
      </c>
      <c r="L1265" t="s">
        <v>236</v>
      </c>
      <c r="N1265" t="s">
        <v>195</v>
      </c>
    </row>
    <row r="1266" spans="1:14" x14ac:dyDescent="0.45">
      <c r="A1266">
        <v>1265</v>
      </c>
      <c r="B1266">
        <v>477</v>
      </c>
      <c r="C1266" t="s">
        <v>74</v>
      </c>
      <c r="D1266" t="s">
        <v>791</v>
      </c>
      <c r="E1266">
        <v>6060</v>
      </c>
      <c r="F1266" t="s">
        <v>129</v>
      </c>
      <c r="G1266" t="s">
        <v>117</v>
      </c>
      <c r="H1266" t="s">
        <v>218</v>
      </c>
      <c r="I1266">
        <v>1293.5999999999999</v>
      </c>
      <c r="J1266">
        <v>0</v>
      </c>
      <c r="K1266" t="s">
        <v>814</v>
      </c>
      <c r="L1266" t="s">
        <v>232</v>
      </c>
      <c r="N1266" t="s">
        <v>195</v>
      </c>
    </row>
    <row r="1267" spans="1:14" x14ac:dyDescent="0.45">
      <c r="A1267">
        <v>1266</v>
      </c>
      <c r="B1267">
        <v>477</v>
      </c>
      <c r="C1267" t="s">
        <v>74</v>
      </c>
      <c r="D1267" t="s">
        <v>791</v>
      </c>
      <c r="E1267">
        <v>1000</v>
      </c>
      <c r="F1267" t="s">
        <v>77</v>
      </c>
      <c r="G1267" t="s">
        <v>78</v>
      </c>
      <c r="H1267" t="s">
        <v>218</v>
      </c>
      <c r="I1267">
        <v>0</v>
      </c>
      <c r="J1267">
        <v>1293.5999999999999</v>
      </c>
      <c r="K1267" t="s">
        <v>814</v>
      </c>
      <c r="L1267" t="s">
        <v>232</v>
      </c>
      <c r="N1267" t="s">
        <v>195</v>
      </c>
    </row>
    <row r="1268" spans="1:14" x14ac:dyDescent="0.45">
      <c r="A1268">
        <v>1267</v>
      </c>
      <c r="B1268">
        <v>478</v>
      </c>
      <c r="C1268" t="s">
        <v>74</v>
      </c>
      <c r="D1268" t="s">
        <v>793</v>
      </c>
      <c r="E1268">
        <v>7000</v>
      </c>
      <c r="F1268" t="s">
        <v>133</v>
      </c>
      <c r="G1268" t="s">
        <v>117</v>
      </c>
      <c r="H1268" t="s">
        <v>218</v>
      </c>
      <c r="I1268">
        <v>605</v>
      </c>
      <c r="J1268">
        <v>0</v>
      </c>
      <c r="K1268" t="s">
        <v>815</v>
      </c>
      <c r="L1268" t="s">
        <v>241</v>
      </c>
      <c r="N1268" t="s">
        <v>195</v>
      </c>
    </row>
    <row r="1269" spans="1:14" x14ac:dyDescent="0.45">
      <c r="A1269">
        <v>1268</v>
      </c>
      <c r="B1269">
        <v>478</v>
      </c>
      <c r="C1269" t="s">
        <v>74</v>
      </c>
      <c r="D1269" t="s">
        <v>793</v>
      </c>
      <c r="E1269">
        <v>1500</v>
      </c>
      <c r="F1269" t="s">
        <v>86</v>
      </c>
      <c r="G1269" t="s">
        <v>78</v>
      </c>
      <c r="H1269" t="s">
        <v>218</v>
      </c>
      <c r="I1269">
        <v>0</v>
      </c>
      <c r="J1269">
        <v>605</v>
      </c>
      <c r="K1269" t="s">
        <v>815</v>
      </c>
      <c r="L1269" t="s">
        <v>241</v>
      </c>
      <c r="N1269" t="s">
        <v>195</v>
      </c>
    </row>
    <row r="1270" spans="1:14" x14ac:dyDescent="0.45">
      <c r="A1270">
        <v>1269</v>
      </c>
      <c r="B1270">
        <v>479</v>
      </c>
      <c r="C1270" t="s">
        <v>74</v>
      </c>
      <c r="D1270" t="s">
        <v>795</v>
      </c>
      <c r="E1270">
        <v>2000</v>
      </c>
      <c r="F1270" t="s">
        <v>88</v>
      </c>
      <c r="G1270" t="s">
        <v>89</v>
      </c>
      <c r="H1270" t="s">
        <v>218</v>
      </c>
      <c r="I1270">
        <v>2107.64</v>
      </c>
      <c r="J1270">
        <v>0</v>
      </c>
      <c r="K1270" t="s">
        <v>816</v>
      </c>
      <c r="L1270" t="s">
        <v>232</v>
      </c>
      <c r="N1270" t="s">
        <v>195</v>
      </c>
    </row>
    <row r="1271" spans="1:14" x14ac:dyDescent="0.45">
      <c r="A1271">
        <v>1270</v>
      </c>
      <c r="B1271">
        <v>479</v>
      </c>
      <c r="C1271" t="s">
        <v>74</v>
      </c>
      <c r="D1271" t="s">
        <v>795</v>
      </c>
      <c r="E1271">
        <v>1000</v>
      </c>
      <c r="F1271" t="s">
        <v>77</v>
      </c>
      <c r="G1271" t="s">
        <v>78</v>
      </c>
      <c r="H1271" t="s">
        <v>218</v>
      </c>
      <c r="I1271">
        <v>0</v>
      </c>
      <c r="J1271">
        <v>2107.64</v>
      </c>
      <c r="K1271" t="s">
        <v>816</v>
      </c>
      <c r="L1271" t="s">
        <v>232</v>
      </c>
      <c r="N1271" t="s">
        <v>195</v>
      </c>
    </row>
    <row r="1272" spans="1:14" x14ac:dyDescent="0.45">
      <c r="A1272">
        <v>1271</v>
      </c>
      <c r="B1272">
        <v>480</v>
      </c>
      <c r="C1272" t="s">
        <v>72</v>
      </c>
      <c r="D1272" t="s">
        <v>788</v>
      </c>
      <c r="E1272">
        <v>1300</v>
      </c>
      <c r="F1272" t="s">
        <v>84</v>
      </c>
      <c r="G1272" t="s">
        <v>78</v>
      </c>
      <c r="H1272" t="s">
        <v>261</v>
      </c>
      <c r="I1272">
        <v>3610.88</v>
      </c>
      <c r="J1272">
        <v>0</v>
      </c>
      <c r="K1272" t="s">
        <v>817</v>
      </c>
      <c r="L1272" t="s">
        <v>263</v>
      </c>
      <c r="M1272" t="s">
        <v>73</v>
      </c>
      <c r="N1272" t="s">
        <v>195</v>
      </c>
    </row>
    <row r="1273" spans="1:14" x14ac:dyDescent="0.45">
      <c r="A1273">
        <v>1272</v>
      </c>
      <c r="B1273">
        <v>480</v>
      </c>
      <c r="C1273" t="s">
        <v>72</v>
      </c>
      <c r="D1273" t="s">
        <v>788</v>
      </c>
      <c r="E1273">
        <v>4090</v>
      </c>
      <c r="F1273" t="s">
        <v>107</v>
      </c>
      <c r="G1273" t="s">
        <v>99</v>
      </c>
      <c r="H1273" t="s">
        <v>261</v>
      </c>
      <c r="I1273">
        <v>0</v>
      </c>
      <c r="J1273">
        <v>3610.88</v>
      </c>
      <c r="K1273" t="s">
        <v>817</v>
      </c>
      <c r="L1273" t="s">
        <v>263</v>
      </c>
      <c r="M1273" t="s">
        <v>73</v>
      </c>
      <c r="N1273" t="s">
        <v>195</v>
      </c>
    </row>
    <row r="1274" spans="1:14" x14ac:dyDescent="0.45">
      <c r="A1274">
        <v>1273</v>
      </c>
      <c r="B1274">
        <v>481</v>
      </c>
      <c r="C1274" t="s">
        <v>73</v>
      </c>
      <c r="D1274" t="s">
        <v>788</v>
      </c>
      <c r="E1274">
        <v>6070</v>
      </c>
      <c r="F1274" t="s">
        <v>131</v>
      </c>
      <c r="G1274" t="s">
        <v>117</v>
      </c>
      <c r="H1274" t="s">
        <v>261</v>
      </c>
      <c r="I1274">
        <v>3610.88</v>
      </c>
      <c r="J1274">
        <v>0</v>
      </c>
      <c r="K1274" t="s">
        <v>818</v>
      </c>
      <c r="L1274" t="s">
        <v>263</v>
      </c>
      <c r="M1274" t="s">
        <v>72</v>
      </c>
      <c r="N1274" t="s">
        <v>195</v>
      </c>
    </row>
    <row r="1275" spans="1:14" x14ac:dyDescent="0.45">
      <c r="A1275">
        <v>1274</v>
      </c>
      <c r="B1275">
        <v>481</v>
      </c>
      <c r="C1275" t="s">
        <v>73</v>
      </c>
      <c r="D1275" t="s">
        <v>788</v>
      </c>
      <c r="E1275">
        <v>2200</v>
      </c>
      <c r="F1275" t="s">
        <v>93</v>
      </c>
      <c r="G1275" t="s">
        <v>89</v>
      </c>
      <c r="H1275" t="s">
        <v>261</v>
      </c>
      <c r="I1275">
        <v>0</v>
      </c>
      <c r="J1275">
        <v>3610.88</v>
      </c>
      <c r="K1275" t="s">
        <v>818</v>
      </c>
      <c r="L1275" t="s">
        <v>263</v>
      </c>
      <c r="M1275" t="s">
        <v>72</v>
      </c>
      <c r="N1275" t="s">
        <v>195</v>
      </c>
    </row>
    <row r="1276" spans="1:14" x14ac:dyDescent="0.45">
      <c r="A1276">
        <v>1275</v>
      </c>
      <c r="B1276">
        <v>482</v>
      </c>
      <c r="C1276" t="s">
        <v>73</v>
      </c>
      <c r="D1276" t="s">
        <v>819</v>
      </c>
      <c r="E1276">
        <v>2200</v>
      </c>
      <c r="F1276" t="s">
        <v>93</v>
      </c>
      <c r="G1276" t="s">
        <v>89</v>
      </c>
      <c r="H1276" t="s">
        <v>261</v>
      </c>
      <c r="I1276">
        <v>3578.64</v>
      </c>
      <c r="J1276">
        <v>0</v>
      </c>
      <c r="K1276" t="s">
        <v>820</v>
      </c>
      <c r="L1276" t="s">
        <v>309</v>
      </c>
      <c r="M1276" t="s">
        <v>72</v>
      </c>
      <c r="N1276" t="s">
        <v>195</v>
      </c>
    </row>
    <row r="1277" spans="1:14" x14ac:dyDescent="0.45">
      <c r="A1277">
        <v>1276</v>
      </c>
      <c r="B1277">
        <v>482</v>
      </c>
      <c r="C1277" t="s">
        <v>73</v>
      </c>
      <c r="D1277" t="s">
        <v>819</v>
      </c>
      <c r="E1277">
        <v>1000</v>
      </c>
      <c r="F1277" t="s">
        <v>77</v>
      </c>
      <c r="G1277" t="s">
        <v>78</v>
      </c>
      <c r="H1277" t="s">
        <v>218</v>
      </c>
      <c r="I1277">
        <v>0</v>
      </c>
      <c r="J1277">
        <v>3578.64</v>
      </c>
      <c r="K1277" t="s">
        <v>820</v>
      </c>
      <c r="L1277" t="s">
        <v>309</v>
      </c>
      <c r="M1277" t="s">
        <v>72</v>
      </c>
      <c r="N1277" t="s">
        <v>195</v>
      </c>
    </row>
    <row r="1278" spans="1:14" x14ac:dyDescent="0.45">
      <c r="A1278">
        <v>1277</v>
      </c>
      <c r="B1278">
        <v>483</v>
      </c>
      <c r="C1278" t="s">
        <v>72</v>
      </c>
      <c r="D1278" t="s">
        <v>819</v>
      </c>
      <c r="E1278">
        <v>1000</v>
      </c>
      <c r="F1278" t="s">
        <v>77</v>
      </c>
      <c r="G1278" t="s">
        <v>78</v>
      </c>
      <c r="H1278" t="s">
        <v>218</v>
      </c>
      <c r="I1278">
        <v>3578.64</v>
      </c>
      <c r="J1278">
        <v>0</v>
      </c>
      <c r="K1278" t="s">
        <v>821</v>
      </c>
      <c r="L1278" t="s">
        <v>309</v>
      </c>
      <c r="M1278" t="s">
        <v>73</v>
      </c>
      <c r="N1278" t="s">
        <v>195</v>
      </c>
    </row>
    <row r="1279" spans="1:14" x14ac:dyDescent="0.45">
      <c r="A1279">
        <v>1278</v>
      </c>
      <c r="B1279">
        <v>483</v>
      </c>
      <c r="C1279" t="s">
        <v>72</v>
      </c>
      <c r="D1279" t="s">
        <v>819</v>
      </c>
      <c r="E1279">
        <v>1300</v>
      </c>
      <c r="F1279" t="s">
        <v>84</v>
      </c>
      <c r="G1279" t="s">
        <v>78</v>
      </c>
      <c r="H1279" t="s">
        <v>261</v>
      </c>
      <c r="I1279">
        <v>0</v>
      </c>
      <c r="J1279">
        <v>3578.64</v>
      </c>
      <c r="K1279" t="s">
        <v>821</v>
      </c>
      <c r="L1279" t="s">
        <v>309</v>
      </c>
      <c r="M1279" t="s">
        <v>73</v>
      </c>
      <c r="N1279" t="s">
        <v>195</v>
      </c>
    </row>
    <row r="1280" spans="1:14" x14ac:dyDescent="0.45">
      <c r="A1280">
        <v>1279</v>
      </c>
      <c r="B1280">
        <v>484</v>
      </c>
      <c r="C1280" t="s">
        <v>72</v>
      </c>
      <c r="D1280" t="s">
        <v>788</v>
      </c>
      <c r="E1280">
        <v>1300</v>
      </c>
      <c r="F1280" t="s">
        <v>84</v>
      </c>
      <c r="G1280" t="s">
        <v>78</v>
      </c>
      <c r="H1280" t="s">
        <v>261</v>
      </c>
      <c r="I1280">
        <v>3203.2</v>
      </c>
      <c r="J1280">
        <v>0</v>
      </c>
      <c r="K1280" t="s">
        <v>822</v>
      </c>
      <c r="L1280" t="s">
        <v>263</v>
      </c>
      <c r="M1280" t="s">
        <v>74</v>
      </c>
      <c r="N1280" t="s">
        <v>195</v>
      </c>
    </row>
    <row r="1281" spans="1:14" x14ac:dyDescent="0.45">
      <c r="A1281">
        <v>1280</v>
      </c>
      <c r="B1281">
        <v>484</v>
      </c>
      <c r="C1281" t="s">
        <v>72</v>
      </c>
      <c r="D1281" t="s">
        <v>788</v>
      </c>
      <c r="E1281">
        <v>4090</v>
      </c>
      <c r="F1281" t="s">
        <v>107</v>
      </c>
      <c r="G1281" t="s">
        <v>99</v>
      </c>
      <c r="H1281" t="s">
        <v>261</v>
      </c>
      <c r="I1281">
        <v>0</v>
      </c>
      <c r="J1281">
        <v>3203.2</v>
      </c>
      <c r="K1281" t="s">
        <v>822</v>
      </c>
      <c r="L1281" t="s">
        <v>263</v>
      </c>
      <c r="M1281" t="s">
        <v>74</v>
      </c>
      <c r="N1281" t="s">
        <v>195</v>
      </c>
    </row>
    <row r="1282" spans="1:14" x14ac:dyDescent="0.45">
      <c r="A1282">
        <v>1281</v>
      </c>
      <c r="B1282">
        <v>485</v>
      </c>
      <c r="C1282" t="s">
        <v>74</v>
      </c>
      <c r="D1282" t="s">
        <v>788</v>
      </c>
      <c r="E1282">
        <v>6070</v>
      </c>
      <c r="F1282" t="s">
        <v>131</v>
      </c>
      <c r="G1282" t="s">
        <v>117</v>
      </c>
      <c r="H1282" t="s">
        <v>261</v>
      </c>
      <c r="I1282">
        <v>3203.2</v>
      </c>
      <c r="J1282">
        <v>0</v>
      </c>
      <c r="K1282" t="s">
        <v>818</v>
      </c>
      <c r="L1282" t="s">
        <v>263</v>
      </c>
      <c r="M1282" t="s">
        <v>72</v>
      </c>
      <c r="N1282" t="s">
        <v>195</v>
      </c>
    </row>
    <row r="1283" spans="1:14" x14ac:dyDescent="0.45">
      <c r="A1283">
        <v>1282</v>
      </c>
      <c r="B1283">
        <v>485</v>
      </c>
      <c r="C1283" t="s">
        <v>74</v>
      </c>
      <c r="D1283" t="s">
        <v>788</v>
      </c>
      <c r="E1283">
        <v>2200</v>
      </c>
      <c r="F1283" t="s">
        <v>93</v>
      </c>
      <c r="G1283" t="s">
        <v>89</v>
      </c>
      <c r="H1283" t="s">
        <v>261</v>
      </c>
      <c r="I1283">
        <v>0</v>
      </c>
      <c r="J1283">
        <v>3203.2</v>
      </c>
      <c r="K1283" t="s">
        <v>818</v>
      </c>
      <c r="L1283" t="s">
        <v>263</v>
      </c>
      <c r="M1283" t="s">
        <v>72</v>
      </c>
      <c r="N1283" t="s">
        <v>195</v>
      </c>
    </row>
    <row r="1284" spans="1:14" x14ac:dyDescent="0.45">
      <c r="A1284">
        <v>1283</v>
      </c>
      <c r="B1284">
        <v>486</v>
      </c>
      <c r="C1284" t="s">
        <v>74</v>
      </c>
      <c r="D1284" t="s">
        <v>819</v>
      </c>
      <c r="E1284">
        <v>2200</v>
      </c>
      <c r="F1284" t="s">
        <v>93</v>
      </c>
      <c r="G1284" t="s">
        <v>89</v>
      </c>
      <c r="H1284" t="s">
        <v>261</v>
      </c>
      <c r="I1284">
        <v>3174.6</v>
      </c>
      <c r="J1284">
        <v>0</v>
      </c>
      <c r="K1284" t="s">
        <v>820</v>
      </c>
      <c r="L1284" t="s">
        <v>309</v>
      </c>
      <c r="M1284" t="s">
        <v>72</v>
      </c>
      <c r="N1284" t="s">
        <v>195</v>
      </c>
    </row>
    <row r="1285" spans="1:14" x14ac:dyDescent="0.45">
      <c r="A1285">
        <v>1284</v>
      </c>
      <c r="B1285">
        <v>486</v>
      </c>
      <c r="C1285" t="s">
        <v>74</v>
      </c>
      <c r="D1285" t="s">
        <v>819</v>
      </c>
      <c r="E1285">
        <v>1000</v>
      </c>
      <c r="F1285" t="s">
        <v>77</v>
      </c>
      <c r="G1285" t="s">
        <v>78</v>
      </c>
      <c r="H1285" t="s">
        <v>218</v>
      </c>
      <c r="I1285">
        <v>0</v>
      </c>
      <c r="J1285">
        <v>3174.6</v>
      </c>
      <c r="K1285" t="s">
        <v>820</v>
      </c>
      <c r="L1285" t="s">
        <v>309</v>
      </c>
      <c r="M1285" t="s">
        <v>72</v>
      </c>
      <c r="N1285" t="s">
        <v>195</v>
      </c>
    </row>
    <row r="1286" spans="1:14" x14ac:dyDescent="0.45">
      <c r="A1286">
        <v>1285</v>
      </c>
      <c r="B1286">
        <v>487</v>
      </c>
      <c r="C1286" t="s">
        <v>72</v>
      </c>
      <c r="D1286" t="s">
        <v>819</v>
      </c>
      <c r="E1286">
        <v>1000</v>
      </c>
      <c r="F1286" t="s">
        <v>77</v>
      </c>
      <c r="G1286" t="s">
        <v>78</v>
      </c>
      <c r="H1286" t="s">
        <v>218</v>
      </c>
      <c r="I1286">
        <v>3174.6</v>
      </c>
      <c r="J1286">
        <v>0</v>
      </c>
      <c r="K1286" t="s">
        <v>823</v>
      </c>
      <c r="L1286" t="s">
        <v>309</v>
      </c>
      <c r="M1286" t="s">
        <v>74</v>
      </c>
      <c r="N1286" t="s">
        <v>195</v>
      </c>
    </row>
    <row r="1287" spans="1:14" x14ac:dyDescent="0.45">
      <c r="A1287">
        <v>1286</v>
      </c>
      <c r="B1287">
        <v>487</v>
      </c>
      <c r="C1287" t="s">
        <v>72</v>
      </c>
      <c r="D1287" t="s">
        <v>819</v>
      </c>
      <c r="E1287">
        <v>1300</v>
      </c>
      <c r="F1287" t="s">
        <v>84</v>
      </c>
      <c r="G1287" t="s">
        <v>78</v>
      </c>
      <c r="H1287" t="s">
        <v>261</v>
      </c>
      <c r="I1287">
        <v>0</v>
      </c>
      <c r="J1287">
        <v>3174.6</v>
      </c>
      <c r="K1287" t="s">
        <v>823</v>
      </c>
      <c r="L1287" t="s">
        <v>309</v>
      </c>
      <c r="M1287" t="s">
        <v>74</v>
      </c>
      <c r="N1287" t="s">
        <v>195</v>
      </c>
    </row>
    <row r="1288" spans="1:14" x14ac:dyDescent="0.45">
      <c r="A1288">
        <v>1287</v>
      </c>
      <c r="B1288">
        <v>488</v>
      </c>
      <c r="C1288" t="s">
        <v>72</v>
      </c>
      <c r="D1288" t="s">
        <v>824</v>
      </c>
      <c r="E1288">
        <v>1100</v>
      </c>
      <c r="F1288" t="s">
        <v>80</v>
      </c>
      <c r="G1288" t="s">
        <v>78</v>
      </c>
      <c r="H1288" t="s">
        <v>218</v>
      </c>
      <c r="I1288">
        <v>112245.2</v>
      </c>
      <c r="J1288">
        <v>0</v>
      </c>
      <c r="K1288" t="s">
        <v>825</v>
      </c>
      <c r="L1288" t="s">
        <v>220</v>
      </c>
      <c r="N1288" t="s">
        <v>196</v>
      </c>
    </row>
    <row r="1289" spans="1:14" x14ac:dyDescent="0.45">
      <c r="A1289">
        <v>1288</v>
      </c>
      <c r="B1289">
        <v>488</v>
      </c>
      <c r="C1289" t="s">
        <v>72</v>
      </c>
      <c r="D1289" t="s">
        <v>824</v>
      </c>
      <c r="E1289">
        <v>4010</v>
      </c>
      <c r="F1289" t="s">
        <v>101</v>
      </c>
      <c r="G1289" t="s">
        <v>99</v>
      </c>
      <c r="H1289" t="s">
        <v>218</v>
      </c>
      <c r="I1289">
        <v>0</v>
      </c>
      <c r="J1289">
        <v>47142.98</v>
      </c>
      <c r="K1289" t="s">
        <v>825</v>
      </c>
      <c r="L1289" t="s">
        <v>220</v>
      </c>
      <c r="N1289" t="s">
        <v>196</v>
      </c>
    </row>
    <row r="1290" spans="1:14" x14ac:dyDescent="0.45">
      <c r="A1290">
        <v>1289</v>
      </c>
      <c r="B1290">
        <v>488</v>
      </c>
      <c r="C1290" t="s">
        <v>72</v>
      </c>
      <c r="D1290" t="s">
        <v>824</v>
      </c>
      <c r="E1290">
        <v>4020</v>
      </c>
      <c r="F1290" t="s">
        <v>103</v>
      </c>
      <c r="G1290" t="s">
        <v>99</v>
      </c>
      <c r="H1290" t="s">
        <v>218</v>
      </c>
      <c r="I1290">
        <v>0</v>
      </c>
      <c r="J1290">
        <v>37040.92</v>
      </c>
      <c r="K1290" t="s">
        <v>825</v>
      </c>
      <c r="L1290" t="s">
        <v>220</v>
      </c>
      <c r="N1290" t="s">
        <v>196</v>
      </c>
    </row>
    <row r="1291" spans="1:14" x14ac:dyDescent="0.45">
      <c r="A1291">
        <v>1290</v>
      </c>
      <c r="B1291">
        <v>488</v>
      </c>
      <c r="C1291" t="s">
        <v>72</v>
      </c>
      <c r="D1291" t="s">
        <v>824</v>
      </c>
      <c r="E1291">
        <v>4030</v>
      </c>
      <c r="F1291" t="s">
        <v>105</v>
      </c>
      <c r="G1291" t="s">
        <v>99</v>
      </c>
      <c r="H1291" t="s">
        <v>218</v>
      </c>
      <c r="I1291">
        <v>0</v>
      </c>
      <c r="J1291">
        <v>28061.3</v>
      </c>
      <c r="K1291" t="s">
        <v>825</v>
      </c>
      <c r="L1291" t="s">
        <v>220</v>
      </c>
      <c r="N1291" t="s">
        <v>196</v>
      </c>
    </row>
    <row r="1292" spans="1:14" x14ac:dyDescent="0.45">
      <c r="A1292">
        <v>1291</v>
      </c>
      <c r="B1292">
        <v>489</v>
      </c>
      <c r="C1292" t="s">
        <v>72</v>
      </c>
      <c r="D1292" t="s">
        <v>826</v>
      </c>
      <c r="E1292">
        <v>1000</v>
      </c>
      <c r="F1292" t="s">
        <v>77</v>
      </c>
      <c r="G1292" t="s">
        <v>78</v>
      </c>
      <c r="H1292" t="s">
        <v>218</v>
      </c>
      <c r="I1292">
        <v>102509.27</v>
      </c>
      <c r="J1292">
        <v>0</v>
      </c>
      <c r="K1292" t="s">
        <v>827</v>
      </c>
      <c r="L1292" t="s">
        <v>223</v>
      </c>
      <c r="N1292" t="s">
        <v>196</v>
      </c>
    </row>
    <row r="1293" spans="1:14" x14ac:dyDescent="0.45">
      <c r="A1293">
        <v>1292</v>
      </c>
      <c r="B1293">
        <v>489</v>
      </c>
      <c r="C1293" t="s">
        <v>72</v>
      </c>
      <c r="D1293" t="s">
        <v>826</v>
      </c>
      <c r="E1293">
        <v>1100</v>
      </c>
      <c r="F1293" t="s">
        <v>80</v>
      </c>
      <c r="G1293" t="s">
        <v>78</v>
      </c>
      <c r="H1293" t="s">
        <v>218</v>
      </c>
      <c r="I1293">
        <v>0</v>
      </c>
      <c r="J1293">
        <v>102509.27</v>
      </c>
      <c r="K1293" t="s">
        <v>827</v>
      </c>
      <c r="L1293" t="s">
        <v>223</v>
      </c>
      <c r="N1293" t="s">
        <v>196</v>
      </c>
    </row>
    <row r="1294" spans="1:14" x14ac:dyDescent="0.45">
      <c r="A1294">
        <v>1293</v>
      </c>
      <c r="B1294">
        <v>490</v>
      </c>
      <c r="C1294" t="s">
        <v>72</v>
      </c>
      <c r="D1294" t="s">
        <v>828</v>
      </c>
      <c r="E1294">
        <v>5010</v>
      </c>
      <c r="F1294" t="s">
        <v>112</v>
      </c>
      <c r="G1294" t="s">
        <v>110</v>
      </c>
      <c r="H1294" t="s">
        <v>218</v>
      </c>
      <c r="I1294">
        <v>6374.8</v>
      </c>
      <c r="J1294">
        <v>0</v>
      </c>
      <c r="K1294" t="s">
        <v>829</v>
      </c>
      <c r="L1294" t="s">
        <v>226</v>
      </c>
      <c r="N1294" t="s">
        <v>196</v>
      </c>
    </row>
    <row r="1295" spans="1:14" x14ac:dyDescent="0.45">
      <c r="A1295">
        <v>1294</v>
      </c>
      <c r="B1295">
        <v>490</v>
      </c>
      <c r="C1295" t="s">
        <v>72</v>
      </c>
      <c r="D1295" t="s">
        <v>828</v>
      </c>
      <c r="E1295">
        <v>5020</v>
      </c>
      <c r="F1295" t="s">
        <v>114</v>
      </c>
      <c r="G1295" t="s">
        <v>110</v>
      </c>
      <c r="H1295" t="s">
        <v>218</v>
      </c>
      <c r="I1295">
        <v>5215.74</v>
      </c>
      <c r="J1295">
        <v>0</v>
      </c>
      <c r="K1295" t="s">
        <v>829</v>
      </c>
      <c r="L1295" t="s">
        <v>226</v>
      </c>
      <c r="N1295" t="s">
        <v>196</v>
      </c>
    </row>
    <row r="1296" spans="1:14" x14ac:dyDescent="0.45">
      <c r="A1296">
        <v>1295</v>
      </c>
      <c r="B1296">
        <v>490</v>
      </c>
      <c r="C1296" t="s">
        <v>72</v>
      </c>
      <c r="D1296" t="s">
        <v>828</v>
      </c>
      <c r="E1296">
        <v>1000</v>
      </c>
      <c r="F1296" t="s">
        <v>77</v>
      </c>
      <c r="G1296" t="s">
        <v>78</v>
      </c>
      <c r="H1296" t="s">
        <v>218</v>
      </c>
      <c r="I1296">
        <v>0</v>
      </c>
      <c r="J1296">
        <v>8113.38</v>
      </c>
      <c r="K1296" t="s">
        <v>829</v>
      </c>
      <c r="L1296" t="s">
        <v>226</v>
      </c>
      <c r="N1296" t="s">
        <v>196</v>
      </c>
    </row>
    <row r="1297" spans="1:14" x14ac:dyDescent="0.45">
      <c r="A1297">
        <v>1296</v>
      </c>
      <c r="B1297">
        <v>490</v>
      </c>
      <c r="C1297" t="s">
        <v>72</v>
      </c>
      <c r="D1297" t="s">
        <v>828</v>
      </c>
      <c r="E1297">
        <v>2000</v>
      </c>
      <c r="F1297" t="s">
        <v>88</v>
      </c>
      <c r="G1297" t="s">
        <v>89</v>
      </c>
      <c r="H1297" t="s">
        <v>218</v>
      </c>
      <c r="I1297">
        <v>0</v>
      </c>
      <c r="J1297">
        <v>3477.16</v>
      </c>
      <c r="K1297" t="s">
        <v>829</v>
      </c>
      <c r="L1297" t="s">
        <v>226</v>
      </c>
      <c r="N1297" t="s">
        <v>196</v>
      </c>
    </row>
    <row r="1298" spans="1:14" x14ac:dyDescent="0.45">
      <c r="A1298">
        <v>1297</v>
      </c>
      <c r="B1298">
        <v>491</v>
      </c>
      <c r="C1298" t="s">
        <v>72</v>
      </c>
      <c r="D1298" t="s">
        <v>830</v>
      </c>
      <c r="E1298">
        <v>6010</v>
      </c>
      <c r="F1298" t="s">
        <v>119</v>
      </c>
      <c r="G1298" t="s">
        <v>117</v>
      </c>
      <c r="H1298" t="s">
        <v>218</v>
      </c>
      <c r="I1298">
        <v>47396</v>
      </c>
      <c r="J1298">
        <v>0</v>
      </c>
      <c r="K1298" t="s">
        <v>831</v>
      </c>
      <c r="L1298" t="s">
        <v>229</v>
      </c>
      <c r="N1298" t="s">
        <v>196</v>
      </c>
    </row>
    <row r="1299" spans="1:14" x14ac:dyDescent="0.45">
      <c r="A1299">
        <v>1298</v>
      </c>
      <c r="B1299">
        <v>491</v>
      </c>
      <c r="C1299" t="s">
        <v>72</v>
      </c>
      <c r="D1299" t="s">
        <v>830</v>
      </c>
      <c r="E1299">
        <v>6020</v>
      </c>
      <c r="F1299" t="s">
        <v>121</v>
      </c>
      <c r="G1299" t="s">
        <v>117</v>
      </c>
      <c r="H1299" t="s">
        <v>218</v>
      </c>
      <c r="I1299">
        <v>6635.44</v>
      </c>
      <c r="J1299">
        <v>0</v>
      </c>
      <c r="K1299" t="s">
        <v>831</v>
      </c>
      <c r="L1299" t="s">
        <v>229</v>
      </c>
      <c r="N1299" t="s">
        <v>196</v>
      </c>
    </row>
    <row r="1300" spans="1:14" x14ac:dyDescent="0.45">
      <c r="A1300">
        <v>1299</v>
      </c>
      <c r="B1300">
        <v>491</v>
      </c>
      <c r="C1300" t="s">
        <v>72</v>
      </c>
      <c r="D1300" t="s">
        <v>830</v>
      </c>
      <c r="E1300">
        <v>1000</v>
      </c>
      <c r="F1300" t="s">
        <v>77</v>
      </c>
      <c r="G1300" t="s">
        <v>78</v>
      </c>
      <c r="H1300" t="s">
        <v>218</v>
      </c>
      <c r="I1300">
        <v>0</v>
      </c>
      <c r="J1300">
        <v>53975.360000000001</v>
      </c>
      <c r="K1300" t="s">
        <v>831</v>
      </c>
      <c r="L1300" t="s">
        <v>229</v>
      </c>
      <c r="N1300" t="s">
        <v>196</v>
      </c>
    </row>
    <row r="1301" spans="1:14" x14ac:dyDescent="0.45">
      <c r="A1301">
        <v>1300</v>
      </c>
      <c r="B1301">
        <v>491</v>
      </c>
      <c r="C1301" t="s">
        <v>72</v>
      </c>
      <c r="D1301" t="s">
        <v>830</v>
      </c>
      <c r="E1301">
        <v>2100</v>
      </c>
      <c r="F1301" t="s">
        <v>91</v>
      </c>
      <c r="G1301" t="s">
        <v>89</v>
      </c>
      <c r="H1301" t="s">
        <v>218</v>
      </c>
      <c r="I1301">
        <v>0</v>
      </c>
      <c r="J1301">
        <v>5403.14</v>
      </c>
      <c r="K1301" t="s">
        <v>831</v>
      </c>
      <c r="L1301" t="s">
        <v>229</v>
      </c>
      <c r="N1301" t="s">
        <v>196</v>
      </c>
    </row>
    <row r="1302" spans="1:14" x14ac:dyDescent="0.45">
      <c r="A1302">
        <v>1301</v>
      </c>
      <c r="B1302">
        <v>491</v>
      </c>
      <c r="C1302" t="s">
        <v>72</v>
      </c>
      <c r="D1302" t="s">
        <v>830</v>
      </c>
      <c r="E1302">
        <v>2100</v>
      </c>
      <c r="F1302" t="s">
        <v>91</v>
      </c>
      <c r="G1302" t="s">
        <v>89</v>
      </c>
      <c r="H1302" t="s">
        <v>218</v>
      </c>
      <c r="I1302">
        <v>5347.06</v>
      </c>
      <c r="J1302">
        <v>0</v>
      </c>
      <c r="K1302" t="s">
        <v>831</v>
      </c>
      <c r="L1302" t="s">
        <v>229</v>
      </c>
      <c r="N1302" t="s">
        <v>196</v>
      </c>
    </row>
    <row r="1303" spans="1:14" x14ac:dyDescent="0.45">
      <c r="A1303">
        <v>1302</v>
      </c>
      <c r="B1303">
        <v>492</v>
      </c>
      <c r="C1303" t="s">
        <v>72</v>
      </c>
      <c r="D1303" t="s">
        <v>832</v>
      </c>
      <c r="E1303">
        <v>6030</v>
      </c>
      <c r="F1303" t="s">
        <v>123</v>
      </c>
      <c r="G1303" t="s">
        <v>117</v>
      </c>
      <c r="H1303" t="s">
        <v>218</v>
      </c>
      <c r="I1303">
        <v>7242</v>
      </c>
      <c r="J1303">
        <v>0</v>
      </c>
      <c r="K1303" t="s">
        <v>833</v>
      </c>
      <c r="L1303" t="s">
        <v>232</v>
      </c>
      <c r="N1303" t="s">
        <v>196</v>
      </c>
    </row>
    <row r="1304" spans="1:14" x14ac:dyDescent="0.45">
      <c r="A1304">
        <v>1303</v>
      </c>
      <c r="B1304">
        <v>492</v>
      </c>
      <c r="C1304" t="s">
        <v>72</v>
      </c>
      <c r="D1304" t="s">
        <v>832</v>
      </c>
      <c r="E1304">
        <v>1000</v>
      </c>
      <c r="F1304" t="s">
        <v>77</v>
      </c>
      <c r="G1304" t="s">
        <v>78</v>
      </c>
      <c r="H1304" t="s">
        <v>218</v>
      </c>
      <c r="I1304">
        <v>0</v>
      </c>
      <c r="J1304">
        <v>7242</v>
      </c>
      <c r="K1304" t="s">
        <v>833</v>
      </c>
      <c r="L1304" t="s">
        <v>232</v>
      </c>
      <c r="N1304" t="s">
        <v>196</v>
      </c>
    </row>
    <row r="1305" spans="1:14" x14ac:dyDescent="0.45">
      <c r="A1305">
        <v>1304</v>
      </c>
      <c r="B1305">
        <v>493</v>
      </c>
      <c r="C1305" t="s">
        <v>72</v>
      </c>
      <c r="D1305" t="s">
        <v>834</v>
      </c>
      <c r="E1305">
        <v>6040</v>
      </c>
      <c r="F1305" t="s">
        <v>125</v>
      </c>
      <c r="G1305" t="s">
        <v>117</v>
      </c>
      <c r="H1305" t="s">
        <v>218</v>
      </c>
      <c r="I1305">
        <v>3377.32</v>
      </c>
      <c r="J1305">
        <v>0</v>
      </c>
      <c r="K1305" t="s">
        <v>835</v>
      </c>
      <c r="L1305" t="s">
        <v>226</v>
      </c>
      <c r="N1305" t="s">
        <v>196</v>
      </c>
    </row>
    <row r="1306" spans="1:14" x14ac:dyDescent="0.45">
      <c r="A1306">
        <v>1305</v>
      </c>
      <c r="B1306">
        <v>493</v>
      </c>
      <c r="C1306" t="s">
        <v>72</v>
      </c>
      <c r="D1306" t="s">
        <v>834</v>
      </c>
      <c r="E1306">
        <v>1000</v>
      </c>
      <c r="F1306" t="s">
        <v>77</v>
      </c>
      <c r="G1306" t="s">
        <v>78</v>
      </c>
      <c r="H1306" t="s">
        <v>218</v>
      </c>
      <c r="I1306">
        <v>0</v>
      </c>
      <c r="J1306">
        <v>2701.86</v>
      </c>
      <c r="K1306" t="s">
        <v>835</v>
      </c>
      <c r="L1306" t="s">
        <v>226</v>
      </c>
      <c r="N1306" t="s">
        <v>196</v>
      </c>
    </row>
    <row r="1307" spans="1:14" x14ac:dyDescent="0.45">
      <c r="A1307">
        <v>1306</v>
      </c>
      <c r="B1307">
        <v>493</v>
      </c>
      <c r="C1307" t="s">
        <v>72</v>
      </c>
      <c r="D1307" t="s">
        <v>834</v>
      </c>
      <c r="E1307">
        <v>2000</v>
      </c>
      <c r="F1307" t="s">
        <v>88</v>
      </c>
      <c r="G1307" t="s">
        <v>89</v>
      </c>
      <c r="H1307" t="s">
        <v>218</v>
      </c>
      <c r="I1307">
        <v>0</v>
      </c>
      <c r="J1307">
        <v>675.46</v>
      </c>
      <c r="K1307" t="s">
        <v>835</v>
      </c>
      <c r="L1307" t="s">
        <v>226</v>
      </c>
      <c r="N1307" t="s">
        <v>196</v>
      </c>
    </row>
    <row r="1308" spans="1:14" x14ac:dyDescent="0.45">
      <c r="A1308">
        <v>1307</v>
      </c>
      <c r="B1308">
        <v>494</v>
      </c>
      <c r="C1308" t="s">
        <v>72</v>
      </c>
      <c r="D1308" t="s">
        <v>832</v>
      </c>
      <c r="E1308">
        <v>6050</v>
      </c>
      <c r="F1308" t="s">
        <v>127</v>
      </c>
      <c r="G1308" t="s">
        <v>117</v>
      </c>
      <c r="H1308" t="s">
        <v>218</v>
      </c>
      <c r="I1308">
        <v>1450</v>
      </c>
      <c r="J1308">
        <v>0</v>
      </c>
      <c r="K1308" t="s">
        <v>836</v>
      </c>
      <c r="L1308" t="s">
        <v>236</v>
      </c>
      <c r="N1308" t="s">
        <v>196</v>
      </c>
    </row>
    <row r="1309" spans="1:14" x14ac:dyDescent="0.45">
      <c r="A1309">
        <v>1308</v>
      </c>
      <c r="B1309">
        <v>494</v>
      </c>
      <c r="C1309" t="s">
        <v>72</v>
      </c>
      <c r="D1309" t="s">
        <v>832</v>
      </c>
      <c r="E1309">
        <v>1200</v>
      </c>
      <c r="F1309" t="s">
        <v>82</v>
      </c>
      <c r="G1309" t="s">
        <v>78</v>
      </c>
      <c r="H1309" t="s">
        <v>218</v>
      </c>
      <c r="I1309">
        <v>0</v>
      </c>
      <c r="J1309">
        <v>1450</v>
      </c>
      <c r="K1309" t="s">
        <v>836</v>
      </c>
      <c r="L1309" t="s">
        <v>236</v>
      </c>
      <c r="N1309" t="s">
        <v>196</v>
      </c>
    </row>
    <row r="1310" spans="1:14" x14ac:dyDescent="0.45">
      <c r="A1310">
        <v>1309</v>
      </c>
      <c r="B1310">
        <v>495</v>
      </c>
      <c r="C1310" t="s">
        <v>72</v>
      </c>
      <c r="D1310" t="s">
        <v>837</v>
      </c>
      <c r="E1310">
        <v>6060</v>
      </c>
      <c r="F1310" t="s">
        <v>129</v>
      </c>
      <c r="G1310" t="s">
        <v>117</v>
      </c>
      <c r="H1310" t="s">
        <v>218</v>
      </c>
      <c r="I1310">
        <v>2373</v>
      </c>
      <c r="J1310">
        <v>0</v>
      </c>
      <c r="K1310" t="s">
        <v>838</v>
      </c>
      <c r="L1310" t="s">
        <v>232</v>
      </c>
      <c r="N1310" t="s">
        <v>196</v>
      </c>
    </row>
    <row r="1311" spans="1:14" x14ac:dyDescent="0.45">
      <c r="A1311">
        <v>1310</v>
      </c>
      <c r="B1311">
        <v>495</v>
      </c>
      <c r="C1311" t="s">
        <v>72</v>
      </c>
      <c r="D1311" t="s">
        <v>837</v>
      </c>
      <c r="E1311">
        <v>1000</v>
      </c>
      <c r="F1311" t="s">
        <v>77</v>
      </c>
      <c r="G1311" t="s">
        <v>78</v>
      </c>
      <c r="H1311" t="s">
        <v>218</v>
      </c>
      <c r="I1311">
        <v>0</v>
      </c>
      <c r="J1311">
        <v>2373</v>
      </c>
      <c r="K1311" t="s">
        <v>838</v>
      </c>
      <c r="L1311" t="s">
        <v>232</v>
      </c>
      <c r="N1311" t="s">
        <v>196</v>
      </c>
    </row>
    <row r="1312" spans="1:14" x14ac:dyDescent="0.45">
      <c r="A1312">
        <v>1311</v>
      </c>
      <c r="B1312">
        <v>496</v>
      </c>
      <c r="C1312" t="s">
        <v>72</v>
      </c>
      <c r="D1312" t="s">
        <v>830</v>
      </c>
      <c r="E1312">
        <v>7000</v>
      </c>
      <c r="F1312" t="s">
        <v>133</v>
      </c>
      <c r="G1312" t="s">
        <v>117</v>
      </c>
      <c r="H1312" t="s">
        <v>218</v>
      </c>
      <c r="I1312">
        <v>1100</v>
      </c>
      <c r="J1312">
        <v>0</v>
      </c>
      <c r="K1312" t="s">
        <v>839</v>
      </c>
      <c r="L1312" t="s">
        <v>241</v>
      </c>
      <c r="N1312" t="s">
        <v>196</v>
      </c>
    </row>
    <row r="1313" spans="1:14" x14ac:dyDescent="0.45">
      <c r="A1313">
        <v>1312</v>
      </c>
      <c r="B1313">
        <v>496</v>
      </c>
      <c r="C1313" t="s">
        <v>72</v>
      </c>
      <c r="D1313" t="s">
        <v>830</v>
      </c>
      <c r="E1313">
        <v>1500</v>
      </c>
      <c r="F1313" t="s">
        <v>86</v>
      </c>
      <c r="G1313" t="s">
        <v>78</v>
      </c>
      <c r="H1313" t="s">
        <v>218</v>
      </c>
      <c r="I1313">
        <v>0</v>
      </c>
      <c r="J1313">
        <v>1100</v>
      </c>
      <c r="K1313" t="s">
        <v>839</v>
      </c>
      <c r="L1313" t="s">
        <v>241</v>
      </c>
      <c r="N1313" t="s">
        <v>196</v>
      </c>
    </row>
    <row r="1314" spans="1:14" x14ac:dyDescent="0.45">
      <c r="A1314">
        <v>1313</v>
      </c>
      <c r="B1314">
        <v>497</v>
      </c>
      <c r="C1314" t="s">
        <v>72</v>
      </c>
      <c r="D1314" t="s">
        <v>840</v>
      </c>
      <c r="E1314">
        <v>2000</v>
      </c>
      <c r="F1314" t="s">
        <v>88</v>
      </c>
      <c r="G1314" t="s">
        <v>89</v>
      </c>
      <c r="H1314" t="s">
        <v>218</v>
      </c>
      <c r="I1314">
        <v>3661.28</v>
      </c>
      <c r="J1314">
        <v>0</v>
      </c>
      <c r="K1314" t="s">
        <v>841</v>
      </c>
      <c r="L1314" t="s">
        <v>232</v>
      </c>
      <c r="N1314" t="s">
        <v>196</v>
      </c>
    </row>
    <row r="1315" spans="1:14" x14ac:dyDescent="0.45">
      <c r="A1315">
        <v>1314</v>
      </c>
      <c r="B1315">
        <v>497</v>
      </c>
      <c r="C1315" t="s">
        <v>72</v>
      </c>
      <c r="D1315" t="s">
        <v>840</v>
      </c>
      <c r="E1315">
        <v>1000</v>
      </c>
      <c r="F1315" t="s">
        <v>77</v>
      </c>
      <c r="G1315" t="s">
        <v>78</v>
      </c>
      <c r="H1315" t="s">
        <v>218</v>
      </c>
      <c r="I1315">
        <v>0</v>
      </c>
      <c r="J1315">
        <v>3661.28</v>
      </c>
      <c r="K1315" t="s">
        <v>841</v>
      </c>
      <c r="L1315" t="s">
        <v>232</v>
      </c>
      <c r="N1315" t="s">
        <v>196</v>
      </c>
    </row>
    <row r="1316" spans="1:14" x14ac:dyDescent="0.45">
      <c r="A1316">
        <v>1315</v>
      </c>
      <c r="B1316">
        <v>498</v>
      </c>
      <c r="C1316" t="s">
        <v>73</v>
      </c>
      <c r="D1316" t="s">
        <v>824</v>
      </c>
      <c r="E1316">
        <v>1100</v>
      </c>
      <c r="F1316" t="s">
        <v>80</v>
      </c>
      <c r="G1316" t="s">
        <v>78</v>
      </c>
      <c r="H1316" t="s">
        <v>218</v>
      </c>
      <c r="I1316">
        <v>64862.38</v>
      </c>
      <c r="J1316">
        <v>0</v>
      </c>
      <c r="K1316" t="s">
        <v>842</v>
      </c>
      <c r="L1316" t="s">
        <v>220</v>
      </c>
      <c r="N1316" t="s">
        <v>196</v>
      </c>
    </row>
    <row r="1317" spans="1:14" x14ac:dyDescent="0.45">
      <c r="A1317">
        <v>1316</v>
      </c>
      <c r="B1317">
        <v>498</v>
      </c>
      <c r="C1317" t="s">
        <v>73</v>
      </c>
      <c r="D1317" t="s">
        <v>824</v>
      </c>
      <c r="E1317">
        <v>4010</v>
      </c>
      <c r="F1317" t="s">
        <v>101</v>
      </c>
      <c r="G1317" t="s">
        <v>99</v>
      </c>
      <c r="H1317" t="s">
        <v>218</v>
      </c>
      <c r="I1317">
        <v>0</v>
      </c>
      <c r="J1317">
        <v>27242.2</v>
      </c>
      <c r="K1317" t="s">
        <v>842</v>
      </c>
      <c r="L1317" t="s">
        <v>220</v>
      </c>
      <c r="N1317" t="s">
        <v>196</v>
      </c>
    </row>
    <row r="1318" spans="1:14" x14ac:dyDescent="0.45">
      <c r="A1318">
        <v>1317</v>
      </c>
      <c r="B1318">
        <v>498</v>
      </c>
      <c r="C1318" t="s">
        <v>73</v>
      </c>
      <c r="D1318" t="s">
        <v>824</v>
      </c>
      <c r="E1318">
        <v>4020</v>
      </c>
      <c r="F1318" t="s">
        <v>103</v>
      </c>
      <c r="G1318" t="s">
        <v>99</v>
      </c>
      <c r="H1318" t="s">
        <v>218</v>
      </c>
      <c r="I1318">
        <v>0</v>
      </c>
      <c r="J1318">
        <v>21404.59</v>
      </c>
      <c r="K1318" t="s">
        <v>842</v>
      </c>
      <c r="L1318" t="s">
        <v>220</v>
      </c>
      <c r="N1318" t="s">
        <v>196</v>
      </c>
    </row>
    <row r="1319" spans="1:14" x14ac:dyDescent="0.45">
      <c r="A1319">
        <v>1318</v>
      </c>
      <c r="B1319">
        <v>498</v>
      </c>
      <c r="C1319" t="s">
        <v>73</v>
      </c>
      <c r="D1319" t="s">
        <v>824</v>
      </c>
      <c r="E1319">
        <v>4030</v>
      </c>
      <c r="F1319" t="s">
        <v>105</v>
      </c>
      <c r="G1319" t="s">
        <v>99</v>
      </c>
      <c r="H1319" t="s">
        <v>218</v>
      </c>
      <c r="I1319">
        <v>0</v>
      </c>
      <c r="J1319">
        <v>16215.59</v>
      </c>
      <c r="K1319" t="s">
        <v>842</v>
      </c>
      <c r="L1319" t="s">
        <v>220</v>
      </c>
      <c r="N1319" t="s">
        <v>196</v>
      </c>
    </row>
    <row r="1320" spans="1:14" x14ac:dyDescent="0.45">
      <c r="A1320">
        <v>1319</v>
      </c>
      <c r="B1320">
        <v>499</v>
      </c>
      <c r="C1320" t="s">
        <v>73</v>
      </c>
      <c r="D1320" t="s">
        <v>826</v>
      </c>
      <c r="E1320">
        <v>1000</v>
      </c>
      <c r="F1320" t="s">
        <v>77</v>
      </c>
      <c r="G1320" t="s">
        <v>78</v>
      </c>
      <c r="H1320" t="s">
        <v>218</v>
      </c>
      <c r="I1320">
        <v>61507.43</v>
      </c>
      <c r="J1320">
        <v>0</v>
      </c>
      <c r="K1320" t="s">
        <v>843</v>
      </c>
      <c r="L1320" t="s">
        <v>223</v>
      </c>
      <c r="N1320" t="s">
        <v>196</v>
      </c>
    </row>
    <row r="1321" spans="1:14" x14ac:dyDescent="0.45">
      <c r="A1321">
        <v>1320</v>
      </c>
      <c r="B1321">
        <v>499</v>
      </c>
      <c r="C1321" t="s">
        <v>73</v>
      </c>
      <c r="D1321" t="s">
        <v>826</v>
      </c>
      <c r="E1321">
        <v>1100</v>
      </c>
      <c r="F1321" t="s">
        <v>80</v>
      </c>
      <c r="G1321" t="s">
        <v>78</v>
      </c>
      <c r="H1321" t="s">
        <v>218</v>
      </c>
      <c r="I1321">
        <v>0</v>
      </c>
      <c r="J1321">
        <v>61507.43</v>
      </c>
      <c r="K1321" t="s">
        <v>843</v>
      </c>
      <c r="L1321" t="s">
        <v>223</v>
      </c>
      <c r="N1321" t="s">
        <v>196</v>
      </c>
    </row>
    <row r="1322" spans="1:14" x14ac:dyDescent="0.45">
      <c r="A1322">
        <v>1321</v>
      </c>
      <c r="B1322">
        <v>500</v>
      </c>
      <c r="C1322" t="s">
        <v>73</v>
      </c>
      <c r="D1322" t="s">
        <v>828</v>
      </c>
      <c r="E1322">
        <v>5010</v>
      </c>
      <c r="F1322" t="s">
        <v>112</v>
      </c>
      <c r="G1322" t="s">
        <v>110</v>
      </c>
      <c r="H1322" t="s">
        <v>218</v>
      </c>
      <c r="I1322">
        <v>3683.76</v>
      </c>
      <c r="J1322">
        <v>0</v>
      </c>
      <c r="K1322" t="s">
        <v>844</v>
      </c>
      <c r="L1322" t="s">
        <v>226</v>
      </c>
      <c r="N1322" t="s">
        <v>196</v>
      </c>
    </row>
    <row r="1323" spans="1:14" x14ac:dyDescent="0.45">
      <c r="A1323">
        <v>1322</v>
      </c>
      <c r="B1323">
        <v>500</v>
      </c>
      <c r="C1323" t="s">
        <v>73</v>
      </c>
      <c r="D1323" t="s">
        <v>828</v>
      </c>
      <c r="E1323">
        <v>5020</v>
      </c>
      <c r="F1323" t="s">
        <v>114</v>
      </c>
      <c r="G1323" t="s">
        <v>110</v>
      </c>
      <c r="H1323" t="s">
        <v>218</v>
      </c>
      <c r="I1323">
        <v>3013.99</v>
      </c>
      <c r="J1323">
        <v>0</v>
      </c>
      <c r="K1323" t="s">
        <v>844</v>
      </c>
      <c r="L1323" t="s">
        <v>226</v>
      </c>
      <c r="N1323" t="s">
        <v>196</v>
      </c>
    </row>
    <row r="1324" spans="1:14" x14ac:dyDescent="0.45">
      <c r="A1324">
        <v>1323</v>
      </c>
      <c r="B1324">
        <v>500</v>
      </c>
      <c r="C1324" t="s">
        <v>73</v>
      </c>
      <c r="D1324" t="s">
        <v>828</v>
      </c>
      <c r="E1324">
        <v>1000</v>
      </c>
      <c r="F1324" t="s">
        <v>77</v>
      </c>
      <c r="G1324" t="s">
        <v>78</v>
      </c>
      <c r="H1324" t="s">
        <v>218</v>
      </c>
      <c r="I1324">
        <v>0</v>
      </c>
      <c r="J1324">
        <v>4688.42</v>
      </c>
      <c r="K1324" t="s">
        <v>844</v>
      </c>
      <c r="L1324" t="s">
        <v>226</v>
      </c>
      <c r="N1324" t="s">
        <v>196</v>
      </c>
    </row>
    <row r="1325" spans="1:14" x14ac:dyDescent="0.45">
      <c r="A1325">
        <v>1324</v>
      </c>
      <c r="B1325">
        <v>500</v>
      </c>
      <c r="C1325" t="s">
        <v>73</v>
      </c>
      <c r="D1325" t="s">
        <v>828</v>
      </c>
      <c r="E1325">
        <v>2000</v>
      </c>
      <c r="F1325" t="s">
        <v>88</v>
      </c>
      <c r="G1325" t="s">
        <v>89</v>
      </c>
      <c r="H1325" t="s">
        <v>218</v>
      </c>
      <c r="I1325">
        <v>0</v>
      </c>
      <c r="J1325">
        <v>2009.33</v>
      </c>
      <c r="K1325" t="s">
        <v>844</v>
      </c>
      <c r="L1325" t="s">
        <v>226</v>
      </c>
      <c r="N1325" t="s">
        <v>196</v>
      </c>
    </row>
    <row r="1326" spans="1:14" x14ac:dyDescent="0.45">
      <c r="A1326">
        <v>1325</v>
      </c>
      <c r="B1326">
        <v>501</v>
      </c>
      <c r="C1326" t="s">
        <v>73</v>
      </c>
      <c r="D1326" t="s">
        <v>830</v>
      </c>
      <c r="E1326">
        <v>6010</v>
      </c>
      <c r="F1326" t="s">
        <v>119</v>
      </c>
      <c r="G1326" t="s">
        <v>117</v>
      </c>
      <c r="H1326" t="s">
        <v>218</v>
      </c>
      <c r="I1326">
        <v>29385.52</v>
      </c>
      <c r="J1326">
        <v>0</v>
      </c>
      <c r="K1326" t="s">
        <v>845</v>
      </c>
      <c r="L1326" t="s">
        <v>229</v>
      </c>
      <c r="N1326" t="s">
        <v>196</v>
      </c>
    </row>
    <row r="1327" spans="1:14" x14ac:dyDescent="0.45">
      <c r="A1327">
        <v>1326</v>
      </c>
      <c r="B1327">
        <v>501</v>
      </c>
      <c r="C1327" t="s">
        <v>73</v>
      </c>
      <c r="D1327" t="s">
        <v>830</v>
      </c>
      <c r="E1327">
        <v>6020</v>
      </c>
      <c r="F1327" t="s">
        <v>121</v>
      </c>
      <c r="G1327" t="s">
        <v>117</v>
      </c>
      <c r="H1327" t="s">
        <v>218</v>
      </c>
      <c r="I1327">
        <v>4113.97</v>
      </c>
      <c r="J1327">
        <v>0</v>
      </c>
      <c r="K1327" t="s">
        <v>845</v>
      </c>
      <c r="L1327" t="s">
        <v>229</v>
      </c>
      <c r="N1327" t="s">
        <v>196</v>
      </c>
    </row>
    <row r="1328" spans="1:14" x14ac:dyDescent="0.45">
      <c r="A1328">
        <v>1327</v>
      </c>
      <c r="B1328">
        <v>501</v>
      </c>
      <c r="C1328" t="s">
        <v>73</v>
      </c>
      <c r="D1328" t="s">
        <v>830</v>
      </c>
      <c r="E1328">
        <v>1000</v>
      </c>
      <c r="F1328" t="s">
        <v>77</v>
      </c>
      <c r="G1328" t="s">
        <v>78</v>
      </c>
      <c r="H1328" t="s">
        <v>218</v>
      </c>
      <c r="I1328">
        <v>0</v>
      </c>
      <c r="J1328">
        <v>33464.71</v>
      </c>
      <c r="K1328" t="s">
        <v>845</v>
      </c>
      <c r="L1328" t="s">
        <v>229</v>
      </c>
      <c r="N1328" t="s">
        <v>196</v>
      </c>
    </row>
    <row r="1329" spans="1:14" x14ac:dyDescent="0.45">
      <c r="A1329">
        <v>1328</v>
      </c>
      <c r="B1329">
        <v>501</v>
      </c>
      <c r="C1329" t="s">
        <v>73</v>
      </c>
      <c r="D1329" t="s">
        <v>830</v>
      </c>
      <c r="E1329">
        <v>2100</v>
      </c>
      <c r="F1329" t="s">
        <v>91</v>
      </c>
      <c r="G1329" t="s">
        <v>89</v>
      </c>
      <c r="H1329" t="s">
        <v>218</v>
      </c>
      <c r="I1329">
        <v>0</v>
      </c>
      <c r="J1329">
        <v>3349.95</v>
      </c>
      <c r="K1329" t="s">
        <v>845</v>
      </c>
      <c r="L1329" t="s">
        <v>229</v>
      </c>
      <c r="N1329" t="s">
        <v>196</v>
      </c>
    </row>
    <row r="1330" spans="1:14" x14ac:dyDescent="0.45">
      <c r="A1330">
        <v>1329</v>
      </c>
      <c r="B1330">
        <v>501</v>
      </c>
      <c r="C1330" t="s">
        <v>73</v>
      </c>
      <c r="D1330" t="s">
        <v>830</v>
      </c>
      <c r="E1330">
        <v>2100</v>
      </c>
      <c r="F1330" t="s">
        <v>91</v>
      </c>
      <c r="G1330" t="s">
        <v>89</v>
      </c>
      <c r="H1330" t="s">
        <v>218</v>
      </c>
      <c r="I1330">
        <v>3315.17</v>
      </c>
      <c r="J1330">
        <v>0</v>
      </c>
      <c r="K1330" t="s">
        <v>845</v>
      </c>
      <c r="L1330" t="s">
        <v>229</v>
      </c>
      <c r="N1330" t="s">
        <v>196</v>
      </c>
    </row>
    <row r="1331" spans="1:14" x14ac:dyDescent="0.45">
      <c r="A1331">
        <v>1330</v>
      </c>
      <c r="B1331">
        <v>502</v>
      </c>
      <c r="C1331" t="s">
        <v>73</v>
      </c>
      <c r="D1331" t="s">
        <v>832</v>
      </c>
      <c r="E1331">
        <v>6030</v>
      </c>
      <c r="F1331" t="s">
        <v>123</v>
      </c>
      <c r="G1331" t="s">
        <v>117</v>
      </c>
      <c r="H1331" t="s">
        <v>218</v>
      </c>
      <c r="I1331">
        <v>4490.04</v>
      </c>
      <c r="J1331">
        <v>0</v>
      </c>
      <c r="K1331" t="s">
        <v>846</v>
      </c>
      <c r="L1331" t="s">
        <v>232</v>
      </c>
      <c r="N1331" t="s">
        <v>196</v>
      </c>
    </row>
    <row r="1332" spans="1:14" x14ac:dyDescent="0.45">
      <c r="A1332">
        <v>1331</v>
      </c>
      <c r="B1332">
        <v>502</v>
      </c>
      <c r="C1332" t="s">
        <v>73</v>
      </c>
      <c r="D1332" t="s">
        <v>832</v>
      </c>
      <c r="E1332">
        <v>1000</v>
      </c>
      <c r="F1332" t="s">
        <v>77</v>
      </c>
      <c r="G1332" t="s">
        <v>78</v>
      </c>
      <c r="H1332" t="s">
        <v>218</v>
      </c>
      <c r="I1332">
        <v>0</v>
      </c>
      <c r="J1332">
        <v>4490.04</v>
      </c>
      <c r="K1332" t="s">
        <v>846</v>
      </c>
      <c r="L1332" t="s">
        <v>232</v>
      </c>
      <c r="N1332" t="s">
        <v>196</v>
      </c>
    </row>
    <row r="1333" spans="1:14" x14ac:dyDescent="0.45">
      <c r="A1333">
        <v>1332</v>
      </c>
      <c r="B1333">
        <v>503</v>
      </c>
      <c r="C1333" t="s">
        <v>73</v>
      </c>
      <c r="D1333" t="s">
        <v>834</v>
      </c>
      <c r="E1333">
        <v>6040</v>
      </c>
      <c r="F1333" t="s">
        <v>125</v>
      </c>
      <c r="G1333" t="s">
        <v>117</v>
      </c>
      <c r="H1333" t="s">
        <v>218</v>
      </c>
      <c r="I1333">
        <v>1951.63</v>
      </c>
      <c r="J1333">
        <v>0</v>
      </c>
      <c r="K1333" t="s">
        <v>847</v>
      </c>
      <c r="L1333" t="s">
        <v>226</v>
      </c>
      <c r="N1333" t="s">
        <v>196</v>
      </c>
    </row>
    <row r="1334" spans="1:14" x14ac:dyDescent="0.45">
      <c r="A1334">
        <v>1333</v>
      </c>
      <c r="B1334">
        <v>503</v>
      </c>
      <c r="C1334" t="s">
        <v>73</v>
      </c>
      <c r="D1334" t="s">
        <v>834</v>
      </c>
      <c r="E1334">
        <v>1000</v>
      </c>
      <c r="F1334" t="s">
        <v>77</v>
      </c>
      <c r="G1334" t="s">
        <v>78</v>
      </c>
      <c r="H1334" t="s">
        <v>218</v>
      </c>
      <c r="I1334">
        <v>0</v>
      </c>
      <c r="J1334">
        <v>1561.3</v>
      </c>
      <c r="K1334" t="s">
        <v>847</v>
      </c>
      <c r="L1334" t="s">
        <v>226</v>
      </c>
      <c r="N1334" t="s">
        <v>196</v>
      </c>
    </row>
    <row r="1335" spans="1:14" x14ac:dyDescent="0.45">
      <c r="A1335">
        <v>1334</v>
      </c>
      <c r="B1335">
        <v>503</v>
      </c>
      <c r="C1335" t="s">
        <v>73</v>
      </c>
      <c r="D1335" t="s">
        <v>834</v>
      </c>
      <c r="E1335">
        <v>2000</v>
      </c>
      <c r="F1335" t="s">
        <v>88</v>
      </c>
      <c r="G1335" t="s">
        <v>89</v>
      </c>
      <c r="H1335" t="s">
        <v>218</v>
      </c>
      <c r="I1335">
        <v>0</v>
      </c>
      <c r="J1335">
        <v>390.33</v>
      </c>
      <c r="K1335" t="s">
        <v>847</v>
      </c>
      <c r="L1335" t="s">
        <v>226</v>
      </c>
      <c r="N1335" t="s">
        <v>196</v>
      </c>
    </row>
    <row r="1336" spans="1:14" x14ac:dyDescent="0.45">
      <c r="A1336">
        <v>1335</v>
      </c>
      <c r="B1336">
        <v>504</v>
      </c>
      <c r="C1336" t="s">
        <v>73</v>
      </c>
      <c r="D1336" t="s">
        <v>832</v>
      </c>
      <c r="E1336">
        <v>6050</v>
      </c>
      <c r="F1336" t="s">
        <v>127</v>
      </c>
      <c r="G1336" t="s">
        <v>117</v>
      </c>
      <c r="H1336" t="s">
        <v>218</v>
      </c>
      <c r="I1336">
        <v>899</v>
      </c>
      <c r="J1336">
        <v>0</v>
      </c>
      <c r="K1336" t="s">
        <v>848</v>
      </c>
      <c r="L1336" t="s">
        <v>236</v>
      </c>
      <c r="N1336" t="s">
        <v>196</v>
      </c>
    </row>
    <row r="1337" spans="1:14" x14ac:dyDescent="0.45">
      <c r="A1337">
        <v>1336</v>
      </c>
      <c r="B1337">
        <v>504</v>
      </c>
      <c r="C1337" t="s">
        <v>73</v>
      </c>
      <c r="D1337" t="s">
        <v>832</v>
      </c>
      <c r="E1337">
        <v>1200</v>
      </c>
      <c r="F1337" t="s">
        <v>82</v>
      </c>
      <c r="G1337" t="s">
        <v>78</v>
      </c>
      <c r="H1337" t="s">
        <v>218</v>
      </c>
      <c r="I1337">
        <v>0</v>
      </c>
      <c r="J1337">
        <v>899</v>
      </c>
      <c r="K1337" t="s">
        <v>848</v>
      </c>
      <c r="L1337" t="s">
        <v>236</v>
      </c>
      <c r="N1337" t="s">
        <v>196</v>
      </c>
    </row>
    <row r="1338" spans="1:14" x14ac:dyDescent="0.45">
      <c r="A1338">
        <v>1337</v>
      </c>
      <c r="B1338">
        <v>505</v>
      </c>
      <c r="C1338" t="s">
        <v>73</v>
      </c>
      <c r="D1338" t="s">
        <v>837</v>
      </c>
      <c r="E1338">
        <v>6060</v>
      </c>
      <c r="F1338" t="s">
        <v>129</v>
      </c>
      <c r="G1338" t="s">
        <v>117</v>
      </c>
      <c r="H1338" t="s">
        <v>218</v>
      </c>
      <c r="I1338">
        <v>1471.26</v>
      </c>
      <c r="J1338">
        <v>0</v>
      </c>
      <c r="K1338" t="s">
        <v>849</v>
      </c>
      <c r="L1338" t="s">
        <v>232</v>
      </c>
      <c r="N1338" t="s">
        <v>196</v>
      </c>
    </row>
    <row r="1339" spans="1:14" x14ac:dyDescent="0.45">
      <c r="A1339">
        <v>1338</v>
      </c>
      <c r="B1339">
        <v>505</v>
      </c>
      <c r="C1339" t="s">
        <v>73</v>
      </c>
      <c r="D1339" t="s">
        <v>837</v>
      </c>
      <c r="E1339">
        <v>1000</v>
      </c>
      <c r="F1339" t="s">
        <v>77</v>
      </c>
      <c r="G1339" t="s">
        <v>78</v>
      </c>
      <c r="H1339" t="s">
        <v>218</v>
      </c>
      <c r="I1339">
        <v>0</v>
      </c>
      <c r="J1339">
        <v>1471.26</v>
      </c>
      <c r="K1339" t="s">
        <v>849</v>
      </c>
      <c r="L1339" t="s">
        <v>232</v>
      </c>
      <c r="N1339" t="s">
        <v>196</v>
      </c>
    </row>
    <row r="1340" spans="1:14" x14ac:dyDescent="0.45">
      <c r="A1340">
        <v>1339</v>
      </c>
      <c r="B1340">
        <v>506</v>
      </c>
      <c r="C1340" t="s">
        <v>73</v>
      </c>
      <c r="D1340" t="s">
        <v>830</v>
      </c>
      <c r="E1340">
        <v>7000</v>
      </c>
      <c r="F1340" t="s">
        <v>133</v>
      </c>
      <c r="G1340" t="s">
        <v>117</v>
      </c>
      <c r="H1340" t="s">
        <v>218</v>
      </c>
      <c r="I1340">
        <v>682</v>
      </c>
      <c r="J1340">
        <v>0</v>
      </c>
      <c r="K1340" t="s">
        <v>850</v>
      </c>
      <c r="L1340" t="s">
        <v>241</v>
      </c>
      <c r="N1340" t="s">
        <v>196</v>
      </c>
    </row>
    <row r="1341" spans="1:14" x14ac:dyDescent="0.45">
      <c r="A1341">
        <v>1340</v>
      </c>
      <c r="B1341">
        <v>506</v>
      </c>
      <c r="C1341" t="s">
        <v>73</v>
      </c>
      <c r="D1341" t="s">
        <v>830</v>
      </c>
      <c r="E1341">
        <v>1500</v>
      </c>
      <c r="F1341" t="s">
        <v>86</v>
      </c>
      <c r="G1341" t="s">
        <v>78</v>
      </c>
      <c r="H1341" t="s">
        <v>218</v>
      </c>
      <c r="I1341">
        <v>0</v>
      </c>
      <c r="J1341">
        <v>682</v>
      </c>
      <c r="K1341" t="s">
        <v>850</v>
      </c>
      <c r="L1341" t="s">
        <v>241</v>
      </c>
      <c r="N1341" t="s">
        <v>196</v>
      </c>
    </row>
    <row r="1342" spans="1:14" x14ac:dyDescent="0.45">
      <c r="A1342">
        <v>1341</v>
      </c>
      <c r="B1342">
        <v>507</v>
      </c>
      <c r="C1342" t="s">
        <v>73</v>
      </c>
      <c r="D1342" t="s">
        <v>840</v>
      </c>
      <c r="E1342">
        <v>2000</v>
      </c>
      <c r="F1342" t="s">
        <v>88</v>
      </c>
      <c r="G1342" t="s">
        <v>89</v>
      </c>
      <c r="H1342" t="s">
        <v>218</v>
      </c>
      <c r="I1342">
        <v>2650.68</v>
      </c>
      <c r="J1342">
        <v>0</v>
      </c>
      <c r="K1342" t="s">
        <v>851</v>
      </c>
      <c r="L1342" t="s">
        <v>232</v>
      </c>
      <c r="N1342" t="s">
        <v>196</v>
      </c>
    </row>
    <row r="1343" spans="1:14" x14ac:dyDescent="0.45">
      <c r="A1343">
        <v>1342</v>
      </c>
      <c r="B1343">
        <v>507</v>
      </c>
      <c r="C1343" t="s">
        <v>73</v>
      </c>
      <c r="D1343" t="s">
        <v>840</v>
      </c>
      <c r="E1343">
        <v>1000</v>
      </c>
      <c r="F1343" t="s">
        <v>77</v>
      </c>
      <c r="G1343" t="s">
        <v>78</v>
      </c>
      <c r="H1343" t="s">
        <v>218</v>
      </c>
      <c r="I1343">
        <v>0</v>
      </c>
      <c r="J1343">
        <v>2650.68</v>
      </c>
      <c r="K1343" t="s">
        <v>851</v>
      </c>
      <c r="L1343" t="s">
        <v>232</v>
      </c>
      <c r="N1343" t="s">
        <v>196</v>
      </c>
    </row>
    <row r="1344" spans="1:14" x14ac:dyDescent="0.45">
      <c r="A1344">
        <v>1343</v>
      </c>
      <c r="B1344">
        <v>508</v>
      </c>
      <c r="C1344" t="s">
        <v>74</v>
      </c>
      <c r="D1344" t="s">
        <v>824</v>
      </c>
      <c r="E1344">
        <v>1100</v>
      </c>
      <c r="F1344" t="s">
        <v>80</v>
      </c>
      <c r="G1344" t="s">
        <v>78</v>
      </c>
      <c r="H1344" t="s">
        <v>218</v>
      </c>
      <c r="I1344">
        <v>58252.84</v>
      </c>
      <c r="J1344">
        <v>0</v>
      </c>
      <c r="K1344" t="s">
        <v>852</v>
      </c>
      <c r="L1344" t="s">
        <v>220</v>
      </c>
      <c r="N1344" t="s">
        <v>196</v>
      </c>
    </row>
    <row r="1345" spans="1:14" x14ac:dyDescent="0.45">
      <c r="A1345">
        <v>1344</v>
      </c>
      <c r="B1345">
        <v>508</v>
      </c>
      <c r="C1345" t="s">
        <v>74</v>
      </c>
      <c r="D1345" t="s">
        <v>824</v>
      </c>
      <c r="E1345">
        <v>4010</v>
      </c>
      <c r="F1345" t="s">
        <v>101</v>
      </c>
      <c r="G1345" t="s">
        <v>99</v>
      </c>
      <c r="H1345" t="s">
        <v>218</v>
      </c>
      <c r="I1345">
        <v>0</v>
      </c>
      <c r="J1345">
        <v>24466.19</v>
      </c>
      <c r="K1345" t="s">
        <v>852</v>
      </c>
      <c r="L1345" t="s">
        <v>220</v>
      </c>
      <c r="N1345" t="s">
        <v>196</v>
      </c>
    </row>
    <row r="1346" spans="1:14" x14ac:dyDescent="0.45">
      <c r="A1346">
        <v>1345</v>
      </c>
      <c r="B1346">
        <v>508</v>
      </c>
      <c r="C1346" t="s">
        <v>74</v>
      </c>
      <c r="D1346" t="s">
        <v>824</v>
      </c>
      <c r="E1346">
        <v>4020</v>
      </c>
      <c r="F1346" t="s">
        <v>103</v>
      </c>
      <c r="G1346" t="s">
        <v>99</v>
      </c>
      <c r="H1346" t="s">
        <v>218</v>
      </c>
      <c r="I1346">
        <v>0</v>
      </c>
      <c r="J1346">
        <v>19223.439999999999</v>
      </c>
      <c r="K1346" t="s">
        <v>852</v>
      </c>
      <c r="L1346" t="s">
        <v>220</v>
      </c>
      <c r="N1346" t="s">
        <v>196</v>
      </c>
    </row>
    <row r="1347" spans="1:14" x14ac:dyDescent="0.45">
      <c r="A1347">
        <v>1346</v>
      </c>
      <c r="B1347">
        <v>508</v>
      </c>
      <c r="C1347" t="s">
        <v>74</v>
      </c>
      <c r="D1347" t="s">
        <v>824</v>
      </c>
      <c r="E1347">
        <v>4030</v>
      </c>
      <c r="F1347" t="s">
        <v>105</v>
      </c>
      <c r="G1347" t="s">
        <v>99</v>
      </c>
      <c r="H1347" t="s">
        <v>218</v>
      </c>
      <c r="I1347">
        <v>0</v>
      </c>
      <c r="J1347">
        <v>14563.21</v>
      </c>
      <c r="K1347" t="s">
        <v>852</v>
      </c>
      <c r="L1347" t="s">
        <v>220</v>
      </c>
      <c r="N1347" t="s">
        <v>196</v>
      </c>
    </row>
    <row r="1348" spans="1:14" x14ac:dyDescent="0.45">
      <c r="A1348">
        <v>1347</v>
      </c>
      <c r="B1348">
        <v>509</v>
      </c>
      <c r="C1348" t="s">
        <v>74</v>
      </c>
      <c r="D1348" t="s">
        <v>826</v>
      </c>
      <c r="E1348">
        <v>1000</v>
      </c>
      <c r="F1348" t="s">
        <v>77</v>
      </c>
      <c r="G1348" t="s">
        <v>78</v>
      </c>
      <c r="H1348" t="s">
        <v>218</v>
      </c>
      <c r="I1348">
        <v>53146.71</v>
      </c>
      <c r="J1348">
        <v>0</v>
      </c>
      <c r="K1348" t="s">
        <v>853</v>
      </c>
      <c r="L1348" t="s">
        <v>223</v>
      </c>
      <c r="N1348" t="s">
        <v>196</v>
      </c>
    </row>
    <row r="1349" spans="1:14" x14ac:dyDescent="0.45">
      <c r="A1349">
        <v>1348</v>
      </c>
      <c r="B1349">
        <v>509</v>
      </c>
      <c r="C1349" t="s">
        <v>74</v>
      </c>
      <c r="D1349" t="s">
        <v>826</v>
      </c>
      <c r="E1349">
        <v>1100</v>
      </c>
      <c r="F1349" t="s">
        <v>80</v>
      </c>
      <c r="G1349" t="s">
        <v>78</v>
      </c>
      <c r="H1349" t="s">
        <v>218</v>
      </c>
      <c r="I1349">
        <v>0</v>
      </c>
      <c r="J1349">
        <v>53146.71</v>
      </c>
      <c r="K1349" t="s">
        <v>853</v>
      </c>
      <c r="L1349" t="s">
        <v>223</v>
      </c>
      <c r="N1349" t="s">
        <v>196</v>
      </c>
    </row>
    <row r="1350" spans="1:14" x14ac:dyDescent="0.45">
      <c r="A1350">
        <v>1349</v>
      </c>
      <c r="B1350">
        <v>510</v>
      </c>
      <c r="C1350" t="s">
        <v>74</v>
      </c>
      <c r="D1350" t="s">
        <v>828</v>
      </c>
      <c r="E1350">
        <v>5010</v>
      </c>
      <c r="F1350" t="s">
        <v>112</v>
      </c>
      <c r="G1350" t="s">
        <v>110</v>
      </c>
      <c r="H1350" t="s">
        <v>218</v>
      </c>
      <c r="I1350">
        <v>3308.38</v>
      </c>
      <c r="J1350">
        <v>0</v>
      </c>
      <c r="K1350" t="s">
        <v>854</v>
      </c>
      <c r="L1350" t="s">
        <v>226</v>
      </c>
      <c r="N1350" t="s">
        <v>196</v>
      </c>
    </row>
    <row r="1351" spans="1:14" x14ac:dyDescent="0.45">
      <c r="A1351">
        <v>1350</v>
      </c>
      <c r="B1351">
        <v>510</v>
      </c>
      <c r="C1351" t="s">
        <v>74</v>
      </c>
      <c r="D1351" t="s">
        <v>828</v>
      </c>
      <c r="E1351">
        <v>5020</v>
      </c>
      <c r="F1351" t="s">
        <v>114</v>
      </c>
      <c r="G1351" t="s">
        <v>110</v>
      </c>
      <c r="H1351" t="s">
        <v>218</v>
      </c>
      <c r="I1351">
        <v>2706.86</v>
      </c>
      <c r="J1351">
        <v>0</v>
      </c>
      <c r="K1351" t="s">
        <v>854</v>
      </c>
      <c r="L1351" t="s">
        <v>226</v>
      </c>
      <c r="N1351" t="s">
        <v>196</v>
      </c>
    </row>
    <row r="1352" spans="1:14" x14ac:dyDescent="0.45">
      <c r="A1352">
        <v>1351</v>
      </c>
      <c r="B1352">
        <v>510</v>
      </c>
      <c r="C1352" t="s">
        <v>74</v>
      </c>
      <c r="D1352" t="s">
        <v>828</v>
      </c>
      <c r="E1352">
        <v>1000</v>
      </c>
      <c r="F1352" t="s">
        <v>77</v>
      </c>
      <c r="G1352" t="s">
        <v>78</v>
      </c>
      <c r="H1352" t="s">
        <v>218</v>
      </c>
      <c r="I1352">
        <v>0</v>
      </c>
      <c r="J1352">
        <v>4210.67</v>
      </c>
      <c r="K1352" t="s">
        <v>854</v>
      </c>
      <c r="L1352" t="s">
        <v>226</v>
      </c>
      <c r="N1352" t="s">
        <v>196</v>
      </c>
    </row>
    <row r="1353" spans="1:14" x14ac:dyDescent="0.45">
      <c r="A1353">
        <v>1352</v>
      </c>
      <c r="B1353">
        <v>510</v>
      </c>
      <c r="C1353" t="s">
        <v>74</v>
      </c>
      <c r="D1353" t="s">
        <v>828</v>
      </c>
      <c r="E1353">
        <v>2000</v>
      </c>
      <c r="F1353" t="s">
        <v>88</v>
      </c>
      <c r="G1353" t="s">
        <v>89</v>
      </c>
      <c r="H1353" t="s">
        <v>218</v>
      </c>
      <c r="I1353">
        <v>0</v>
      </c>
      <c r="J1353">
        <v>1804.57</v>
      </c>
      <c r="K1353" t="s">
        <v>854</v>
      </c>
      <c r="L1353" t="s">
        <v>226</v>
      </c>
      <c r="N1353" t="s">
        <v>196</v>
      </c>
    </row>
    <row r="1354" spans="1:14" x14ac:dyDescent="0.45">
      <c r="A1354">
        <v>1353</v>
      </c>
      <c r="B1354">
        <v>511</v>
      </c>
      <c r="C1354" t="s">
        <v>74</v>
      </c>
      <c r="D1354" t="s">
        <v>830</v>
      </c>
      <c r="E1354">
        <v>6010</v>
      </c>
      <c r="F1354" t="s">
        <v>119</v>
      </c>
      <c r="G1354" t="s">
        <v>117</v>
      </c>
      <c r="H1354" t="s">
        <v>218</v>
      </c>
      <c r="I1354">
        <v>26067.8</v>
      </c>
      <c r="J1354">
        <v>0</v>
      </c>
      <c r="K1354" t="s">
        <v>855</v>
      </c>
      <c r="L1354" t="s">
        <v>229</v>
      </c>
      <c r="N1354" t="s">
        <v>196</v>
      </c>
    </row>
    <row r="1355" spans="1:14" x14ac:dyDescent="0.45">
      <c r="A1355">
        <v>1354</v>
      </c>
      <c r="B1355">
        <v>511</v>
      </c>
      <c r="C1355" t="s">
        <v>74</v>
      </c>
      <c r="D1355" t="s">
        <v>830</v>
      </c>
      <c r="E1355">
        <v>6020</v>
      </c>
      <c r="F1355" t="s">
        <v>121</v>
      </c>
      <c r="G1355" t="s">
        <v>117</v>
      </c>
      <c r="H1355" t="s">
        <v>218</v>
      </c>
      <c r="I1355">
        <v>3649.49</v>
      </c>
      <c r="J1355">
        <v>0</v>
      </c>
      <c r="K1355" t="s">
        <v>855</v>
      </c>
      <c r="L1355" t="s">
        <v>229</v>
      </c>
      <c r="N1355" t="s">
        <v>196</v>
      </c>
    </row>
    <row r="1356" spans="1:14" x14ac:dyDescent="0.45">
      <c r="A1356">
        <v>1355</v>
      </c>
      <c r="B1356">
        <v>511</v>
      </c>
      <c r="C1356" t="s">
        <v>74</v>
      </c>
      <c r="D1356" t="s">
        <v>830</v>
      </c>
      <c r="E1356">
        <v>1000</v>
      </c>
      <c r="F1356" t="s">
        <v>77</v>
      </c>
      <c r="G1356" t="s">
        <v>78</v>
      </c>
      <c r="H1356" t="s">
        <v>218</v>
      </c>
      <c r="I1356">
        <v>0</v>
      </c>
      <c r="J1356">
        <v>29686.44</v>
      </c>
      <c r="K1356" t="s">
        <v>855</v>
      </c>
      <c r="L1356" t="s">
        <v>229</v>
      </c>
      <c r="N1356" t="s">
        <v>196</v>
      </c>
    </row>
    <row r="1357" spans="1:14" x14ac:dyDescent="0.45">
      <c r="A1357">
        <v>1356</v>
      </c>
      <c r="B1357">
        <v>511</v>
      </c>
      <c r="C1357" t="s">
        <v>74</v>
      </c>
      <c r="D1357" t="s">
        <v>830</v>
      </c>
      <c r="E1357">
        <v>2100</v>
      </c>
      <c r="F1357" t="s">
        <v>91</v>
      </c>
      <c r="G1357" t="s">
        <v>89</v>
      </c>
      <c r="H1357" t="s">
        <v>218</v>
      </c>
      <c r="I1357">
        <v>0</v>
      </c>
      <c r="J1357">
        <v>2971.73</v>
      </c>
      <c r="K1357" t="s">
        <v>855</v>
      </c>
      <c r="L1357" t="s">
        <v>229</v>
      </c>
      <c r="N1357" t="s">
        <v>196</v>
      </c>
    </row>
    <row r="1358" spans="1:14" x14ac:dyDescent="0.45">
      <c r="A1358">
        <v>1357</v>
      </c>
      <c r="B1358">
        <v>511</v>
      </c>
      <c r="C1358" t="s">
        <v>74</v>
      </c>
      <c r="D1358" t="s">
        <v>830</v>
      </c>
      <c r="E1358">
        <v>2100</v>
      </c>
      <c r="F1358" t="s">
        <v>91</v>
      </c>
      <c r="G1358" t="s">
        <v>89</v>
      </c>
      <c r="H1358" t="s">
        <v>218</v>
      </c>
      <c r="I1358">
        <v>2940.88</v>
      </c>
      <c r="J1358">
        <v>0</v>
      </c>
      <c r="K1358" t="s">
        <v>855</v>
      </c>
      <c r="L1358" t="s">
        <v>229</v>
      </c>
      <c r="N1358" t="s">
        <v>196</v>
      </c>
    </row>
    <row r="1359" spans="1:14" x14ac:dyDescent="0.45">
      <c r="A1359">
        <v>1358</v>
      </c>
      <c r="B1359">
        <v>512</v>
      </c>
      <c r="C1359" t="s">
        <v>74</v>
      </c>
      <c r="D1359" t="s">
        <v>832</v>
      </c>
      <c r="E1359">
        <v>6030</v>
      </c>
      <c r="F1359" t="s">
        <v>123</v>
      </c>
      <c r="G1359" t="s">
        <v>117</v>
      </c>
      <c r="H1359" t="s">
        <v>218</v>
      </c>
      <c r="I1359">
        <v>3983.1</v>
      </c>
      <c r="J1359">
        <v>0</v>
      </c>
      <c r="K1359" t="s">
        <v>856</v>
      </c>
      <c r="L1359" t="s">
        <v>232</v>
      </c>
      <c r="N1359" t="s">
        <v>196</v>
      </c>
    </row>
    <row r="1360" spans="1:14" x14ac:dyDescent="0.45">
      <c r="A1360">
        <v>1359</v>
      </c>
      <c r="B1360">
        <v>512</v>
      </c>
      <c r="C1360" t="s">
        <v>74</v>
      </c>
      <c r="D1360" t="s">
        <v>832</v>
      </c>
      <c r="E1360">
        <v>1000</v>
      </c>
      <c r="F1360" t="s">
        <v>77</v>
      </c>
      <c r="G1360" t="s">
        <v>78</v>
      </c>
      <c r="H1360" t="s">
        <v>218</v>
      </c>
      <c r="I1360">
        <v>0</v>
      </c>
      <c r="J1360">
        <v>3983.1</v>
      </c>
      <c r="K1360" t="s">
        <v>856</v>
      </c>
      <c r="L1360" t="s">
        <v>232</v>
      </c>
      <c r="N1360" t="s">
        <v>196</v>
      </c>
    </row>
    <row r="1361" spans="1:14" x14ac:dyDescent="0.45">
      <c r="A1361">
        <v>1360</v>
      </c>
      <c r="B1361">
        <v>513</v>
      </c>
      <c r="C1361" t="s">
        <v>74</v>
      </c>
      <c r="D1361" t="s">
        <v>834</v>
      </c>
      <c r="E1361">
        <v>6040</v>
      </c>
      <c r="F1361" t="s">
        <v>125</v>
      </c>
      <c r="G1361" t="s">
        <v>117</v>
      </c>
      <c r="H1361" t="s">
        <v>218</v>
      </c>
      <c r="I1361">
        <v>1752.76</v>
      </c>
      <c r="J1361">
        <v>0</v>
      </c>
      <c r="K1361" t="s">
        <v>857</v>
      </c>
      <c r="L1361" t="s">
        <v>226</v>
      </c>
      <c r="N1361" t="s">
        <v>196</v>
      </c>
    </row>
    <row r="1362" spans="1:14" x14ac:dyDescent="0.45">
      <c r="A1362">
        <v>1361</v>
      </c>
      <c r="B1362">
        <v>513</v>
      </c>
      <c r="C1362" t="s">
        <v>74</v>
      </c>
      <c r="D1362" t="s">
        <v>834</v>
      </c>
      <c r="E1362">
        <v>1000</v>
      </c>
      <c r="F1362" t="s">
        <v>77</v>
      </c>
      <c r="G1362" t="s">
        <v>78</v>
      </c>
      <c r="H1362" t="s">
        <v>218</v>
      </c>
      <c r="I1362">
        <v>0</v>
      </c>
      <c r="J1362">
        <v>1402.21</v>
      </c>
      <c r="K1362" t="s">
        <v>857</v>
      </c>
      <c r="L1362" t="s">
        <v>226</v>
      </c>
      <c r="N1362" t="s">
        <v>196</v>
      </c>
    </row>
    <row r="1363" spans="1:14" x14ac:dyDescent="0.45">
      <c r="A1363">
        <v>1362</v>
      </c>
      <c r="B1363">
        <v>513</v>
      </c>
      <c r="C1363" t="s">
        <v>74</v>
      </c>
      <c r="D1363" t="s">
        <v>834</v>
      </c>
      <c r="E1363">
        <v>2000</v>
      </c>
      <c r="F1363" t="s">
        <v>88</v>
      </c>
      <c r="G1363" t="s">
        <v>89</v>
      </c>
      <c r="H1363" t="s">
        <v>218</v>
      </c>
      <c r="I1363">
        <v>0</v>
      </c>
      <c r="J1363">
        <v>350.55</v>
      </c>
      <c r="K1363" t="s">
        <v>857</v>
      </c>
      <c r="L1363" t="s">
        <v>226</v>
      </c>
      <c r="N1363" t="s">
        <v>196</v>
      </c>
    </row>
    <row r="1364" spans="1:14" x14ac:dyDescent="0.45">
      <c r="A1364">
        <v>1363</v>
      </c>
      <c r="B1364">
        <v>514</v>
      </c>
      <c r="C1364" t="s">
        <v>74</v>
      </c>
      <c r="D1364" t="s">
        <v>832</v>
      </c>
      <c r="E1364">
        <v>6050</v>
      </c>
      <c r="F1364" t="s">
        <v>127</v>
      </c>
      <c r="G1364" t="s">
        <v>117</v>
      </c>
      <c r="H1364" t="s">
        <v>218</v>
      </c>
      <c r="I1364">
        <v>797.5</v>
      </c>
      <c r="J1364">
        <v>0</v>
      </c>
      <c r="K1364" t="s">
        <v>858</v>
      </c>
      <c r="L1364" t="s">
        <v>236</v>
      </c>
      <c r="N1364" t="s">
        <v>196</v>
      </c>
    </row>
    <row r="1365" spans="1:14" x14ac:dyDescent="0.45">
      <c r="A1365">
        <v>1364</v>
      </c>
      <c r="B1365">
        <v>514</v>
      </c>
      <c r="C1365" t="s">
        <v>74</v>
      </c>
      <c r="D1365" t="s">
        <v>832</v>
      </c>
      <c r="E1365">
        <v>1200</v>
      </c>
      <c r="F1365" t="s">
        <v>82</v>
      </c>
      <c r="G1365" t="s">
        <v>78</v>
      </c>
      <c r="H1365" t="s">
        <v>218</v>
      </c>
      <c r="I1365">
        <v>0</v>
      </c>
      <c r="J1365">
        <v>797.5</v>
      </c>
      <c r="K1365" t="s">
        <v>858</v>
      </c>
      <c r="L1365" t="s">
        <v>236</v>
      </c>
      <c r="N1365" t="s">
        <v>196</v>
      </c>
    </row>
    <row r="1366" spans="1:14" x14ac:dyDescent="0.45">
      <c r="A1366">
        <v>1365</v>
      </c>
      <c r="B1366">
        <v>515</v>
      </c>
      <c r="C1366" t="s">
        <v>74</v>
      </c>
      <c r="D1366" t="s">
        <v>837</v>
      </c>
      <c r="E1366">
        <v>6060</v>
      </c>
      <c r="F1366" t="s">
        <v>129</v>
      </c>
      <c r="G1366" t="s">
        <v>117</v>
      </c>
      <c r="H1366" t="s">
        <v>218</v>
      </c>
      <c r="I1366">
        <v>1305.1500000000001</v>
      </c>
      <c r="J1366">
        <v>0</v>
      </c>
      <c r="K1366" t="s">
        <v>859</v>
      </c>
      <c r="L1366" t="s">
        <v>232</v>
      </c>
      <c r="N1366" t="s">
        <v>196</v>
      </c>
    </row>
    <row r="1367" spans="1:14" x14ac:dyDescent="0.45">
      <c r="A1367">
        <v>1366</v>
      </c>
      <c r="B1367">
        <v>515</v>
      </c>
      <c r="C1367" t="s">
        <v>74</v>
      </c>
      <c r="D1367" t="s">
        <v>837</v>
      </c>
      <c r="E1367">
        <v>1000</v>
      </c>
      <c r="F1367" t="s">
        <v>77</v>
      </c>
      <c r="G1367" t="s">
        <v>78</v>
      </c>
      <c r="H1367" t="s">
        <v>218</v>
      </c>
      <c r="I1367">
        <v>0</v>
      </c>
      <c r="J1367">
        <v>1305.1500000000001</v>
      </c>
      <c r="K1367" t="s">
        <v>859</v>
      </c>
      <c r="L1367" t="s">
        <v>232</v>
      </c>
      <c r="N1367" t="s">
        <v>196</v>
      </c>
    </row>
    <row r="1368" spans="1:14" x14ac:dyDescent="0.45">
      <c r="A1368">
        <v>1367</v>
      </c>
      <c r="B1368">
        <v>516</v>
      </c>
      <c r="C1368" t="s">
        <v>74</v>
      </c>
      <c r="D1368" t="s">
        <v>830</v>
      </c>
      <c r="E1368">
        <v>7000</v>
      </c>
      <c r="F1368" t="s">
        <v>133</v>
      </c>
      <c r="G1368" t="s">
        <v>117</v>
      </c>
      <c r="H1368" t="s">
        <v>218</v>
      </c>
      <c r="I1368">
        <v>605</v>
      </c>
      <c r="J1368">
        <v>0</v>
      </c>
      <c r="K1368" t="s">
        <v>860</v>
      </c>
      <c r="L1368" t="s">
        <v>241</v>
      </c>
      <c r="N1368" t="s">
        <v>196</v>
      </c>
    </row>
    <row r="1369" spans="1:14" x14ac:dyDescent="0.45">
      <c r="A1369">
        <v>1368</v>
      </c>
      <c r="B1369">
        <v>516</v>
      </c>
      <c r="C1369" t="s">
        <v>74</v>
      </c>
      <c r="D1369" t="s">
        <v>830</v>
      </c>
      <c r="E1369">
        <v>1500</v>
      </c>
      <c r="F1369" t="s">
        <v>86</v>
      </c>
      <c r="G1369" t="s">
        <v>78</v>
      </c>
      <c r="H1369" t="s">
        <v>218</v>
      </c>
      <c r="I1369">
        <v>0</v>
      </c>
      <c r="J1369">
        <v>605</v>
      </c>
      <c r="K1369" t="s">
        <v>860</v>
      </c>
      <c r="L1369" t="s">
        <v>241</v>
      </c>
      <c r="N1369" t="s">
        <v>196</v>
      </c>
    </row>
    <row r="1370" spans="1:14" x14ac:dyDescent="0.45">
      <c r="A1370">
        <v>1369</v>
      </c>
      <c r="B1370">
        <v>517</v>
      </c>
      <c r="C1370" t="s">
        <v>74</v>
      </c>
      <c r="D1370" t="s">
        <v>840</v>
      </c>
      <c r="E1370">
        <v>2000</v>
      </c>
      <c r="F1370" t="s">
        <v>88</v>
      </c>
      <c r="G1370" t="s">
        <v>89</v>
      </c>
      <c r="H1370" t="s">
        <v>218</v>
      </c>
      <c r="I1370">
        <v>2292.12</v>
      </c>
      <c r="J1370">
        <v>0</v>
      </c>
      <c r="K1370" t="s">
        <v>861</v>
      </c>
      <c r="L1370" t="s">
        <v>232</v>
      </c>
      <c r="N1370" t="s">
        <v>196</v>
      </c>
    </row>
    <row r="1371" spans="1:14" x14ac:dyDescent="0.45">
      <c r="A1371">
        <v>1370</v>
      </c>
      <c r="B1371">
        <v>517</v>
      </c>
      <c r="C1371" t="s">
        <v>74</v>
      </c>
      <c r="D1371" t="s">
        <v>840</v>
      </c>
      <c r="E1371">
        <v>1000</v>
      </c>
      <c r="F1371" t="s">
        <v>77</v>
      </c>
      <c r="G1371" t="s">
        <v>78</v>
      </c>
      <c r="H1371" t="s">
        <v>218</v>
      </c>
      <c r="I1371">
        <v>0</v>
      </c>
      <c r="J1371">
        <v>2292.12</v>
      </c>
      <c r="K1371" t="s">
        <v>861</v>
      </c>
      <c r="L1371" t="s">
        <v>232</v>
      </c>
      <c r="N1371" t="s">
        <v>196</v>
      </c>
    </row>
    <row r="1372" spans="1:14" x14ac:dyDescent="0.45">
      <c r="A1372">
        <v>1371</v>
      </c>
      <c r="B1372">
        <v>518</v>
      </c>
      <c r="C1372" t="s">
        <v>72</v>
      </c>
      <c r="D1372" t="s">
        <v>862</v>
      </c>
      <c r="E1372">
        <v>1300</v>
      </c>
      <c r="F1372" t="s">
        <v>84</v>
      </c>
      <c r="G1372" t="s">
        <v>78</v>
      </c>
      <c r="H1372" t="s">
        <v>261</v>
      </c>
      <c r="I1372">
        <v>3643.12</v>
      </c>
      <c r="J1372">
        <v>0</v>
      </c>
      <c r="K1372" t="s">
        <v>863</v>
      </c>
      <c r="L1372" t="s">
        <v>263</v>
      </c>
      <c r="M1372" t="s">
        <v>73</v>
      </c>
      <c r="N1372" t="s">
        <v>196</v>
      </c>
    </row>
    <row r="1373" spans="1:14" x14ac:dyDescent="0.45">
      <c r="A1373">
        <v>1372</v>
      </c>
      <c r="B1373">
        <v>518</v>
      </c>
      <c r="C1373" t="s">
        <v>72</v>
      </c>
      <c r="D1373" t="s">
        <v>862</v>
      </c>
      <c r="E1373">
        <v>4090</v>
      </c>
      <c r="F1373" t="s">
        <v>107</v>
      </c>
      <c r="G1373" t="s">
        <v>99</v>
      </c>
      <c r="H1373" t="s">
        <v>261</v>
      </c>
      <c r="I1373">
        <v>0</v>
      </c>
      <c r="J1373">
        <v>3643.12</v>
      </c>
      <c r="K1373" t="s">
        <v>863</v>
      </c>
      <c r="L1373" t="s">
        <v>263</v>
      </c>
      <c r="M1373" t="s">
        <v>73</v>
      </c>
      <c r="N1373" t="s">
        <v>196</v>
      </c>
    </row>
    <row r="1374" spans="1:14" x14ac:dyDescent="0.45">
      <c r="A1374">
        <v>1373</v>
      </c>
      <c r="B1374">
        <v>519</v>
      </c>
      <c r="C1374" t="s">
        <v>73</v>
      </c>
      <c r="D1374" t="s">
        <v>862</v>
      </c>
      <c r="E1374">
        <v>6070</v>
      </c>
      <c r="F1374" t="s">
        <v>131</v>
      </c>
      <c r="G1374" t="s">
        <v>117</v>
      </c>
      <c r="H1374" t="s">
        <v>261</v>
      </c>
      <c r="I1374">
        <v>3643.12</v>
      </c>
      <c r="J1374">
        <v>0</v>
      </c>
      <c r="K1374" t="s">
        <v>864</v>
      </c>
      <c r="L1374" t="s">
        <v>263</v>
      </c>
      <c r="M1374" t="s">
        <v>72</v>
      </c>
      <c r="N1374" t="s">
        <v>196</v>
      </c>
    </row>
    <row r="1375" spans="1:14" x14ac:dyDescent="0.45">
      <c r="A1375">
        <v>1374</v>
      </c>
      <c r="B1375">
        <v>519</v>
      </c>
      <c r="C1375" t="s">
        <v>73</v>
      </c>
      <c r="D1375" t="s">
        <v>862</v>
      </c>
      <c r="E1375">
        <v>2200</v>
      </c>
      <c r="F1375" t="s">
        <v>93</v>
      </c>
      <c r="G1375" t="s">
        <v>89</v>
      </c>
      <c r="H1375" t="s">
        <v>261</v>
      </c>
      <c r="I1375">
        <v>0</v>
      </c>
      <c r="J1375">
        <v>3643.12</v>
      </c>
      <c r="K1375" t="s">
        <v>864</v>
      </c>
      <c r="L1375" t="s">
        <v>263</v>
      </c>
      <c r="M1375" t="s">
        <v>72</v>
      </c>
      <c r="N1375" t="s">
        <v>196</v>
      </c>
    </row>
    <row r="1376" spans="1:14" x14ac:dyDescent="0.45">
      <c r="A1376">
        <v>1375</v>
      </c>
      <c r="B1376">
        <v>520</v>
      </c>
      <c r="C1376" t="s">
        <v>73</v>
      </c>
      <c r="D1376" t="s">
        <v>865</v>
      </c>
      <c r="E1376">
        <v>2200</v>
      </c>
      <c r="F1376" t="s">
        <v>93</v>
      </c>
      <c r="G1376" t="s">
        <v>89</v>
      </c>
      <c r="H1376" t="s">
        <v>261</v>
      </c>
      <c r="I1376">
        <v>3610.88</v>
      </c>
      <c r="J1376">
        <v>0</v>
      </c>
      <c r="K1376" t="s">
        <v>866</v>
      </c>
      <c r="L1376" t="s">
        <v>309</v>
      </c>
      <c r="M1376" t="s">
        <v>72</v>
      </c>
      <c r="N1376" t="s">
        <v>196</v>
      </c>
    </row>
    <row r="1377" spans="1:14" x14ac:dyDescent="0.45">
      <c r="A1377">
        <v>1376</v>
      </c>
      <c r="B1377">
        <v>520</v>
      </c>
      <c r="C1377" t="s">
        <v>73</v>
      </c>
      <c r="D1377" t="s">
        <v>865</v>
      </c>
      <c r="E1377">
        <v>1000</v>
      </c>
      <c r="F1377" t="s">
        <v>77</v>
      </c>
      <c r="G1377" t="s">
        <v>78</v>
      </c>
      <c r="H1377" t="s">
        <v>218</v>
      </c>
      <c r="I1377">
        <v>0</v>
      </c>
      <c r="J1377">
        <v>3610.88</v>
      </c>
      <c r="K1377" t="s">
        <v>866</v>
      </c>
      <c r="L1377" t="s">
        <v>309</v>
      </c>
      <c r="M1377" t="s">
        <v>72</v>
      </c>
      <c r="N1377" t="s">
        <v>196</v>
      </c>
    </row>
    <row r="1378" spans="1:14" x14ac:dyDescent="0.45">
      <c r="A1378">
        <v>1377</v>
      </c>
      <c r="B1378">
        <v>521</v>
      </c>
      <c r="C1378" t="s">
        <v>72</v>
      </c>
      <c r="D1378" t="s">
        <v>865</v>
      </c>
      <c r="E1378">
        <v>1000</v>
      </c>
      <c r="F1378" t="s">
        <v>77</v>
      </c>
      <c r="G1378" t="s">
        <v>78</v>
      </c>
      <c r="H1378" t="s">
        <v>218</v>
      </c>
      <c r="I1378">
        <v>3610.88</v>
      </c>
      <c r="J1378">
        <v>0</v>
      </c>
      <c r="K1378" t="s">
        <v>867</v>
      </c>
      <c r="L1378" t="s">
        <v>309</v>
      </c>
      <c r="M1378" t="s">
        <v>73</v>
      </c>
      <c r="N1378" t="s">
        <v>196</v>
      </c>
    </row>
    <row r="1379" spans="1:14" x14ac:dyDescent="0.45">
      <c r="A1379">
        <v>1378</v>
      </c>
      <c r="B1379">
        <v>521</v>
      </c>
      <c r="C1379" t="s">
        <v>72</v>
      </c>
      <c r="D1379" t="s">
        <v>865</v>
      </c>
      <c r="E1379">
        <v>1300</v>
      </c>
      <c r="F1379" t="s">
        <v>84</v>
      </c>
      <c r="G1379" t="s">
        <v>78</v>
      </c>
      <c r="H1379" t="s">
        <v>261</v>
      </c>
      <c r="I1379">
        <v>0</v>
      </c>
      <c r="J1379">
        <v>3610.88</v>
      </c>
      <c r="K1379" t="s">
        <v>867</v>
      </c>
      <c r="L1379" t="s">
        <v>309</v>
      </c>
      <c r="M1379" t="s">
        <v>73</v>
      </c>
      <c r="N1379" t="s">
        <v>196</v>
      </c>
    </row>
    <row r="1380" spans="1:14" x14ac:dyDescent="0.45">
      <c r="A1380">
        <v>1379</v>
      </c>
      <c r="B1380">
        <v>522</v>
      </c>
      <c r="C1380" t="s">
        <v>72</v>
      </c>
      <c r="D1380" t="s">
        <v>862</v>
      </c>
      <c r="E1380">
        <v>1300</v>
      </c>
      <c r="F1380" t="s">
        <v>84</v>
      </c>
      <c r="G1380" t="s">
        <v>78</v>
      </c>
      <c r="H1380" t="s">
        <v>261</v>
      </c>
      <c r="I1380">
        <v>3231.8</v>
      </c>
      <c r="J1380">
        <v>0</v>
      </c>
      <c r="K1380" t="s">
        <v>868</v>
      </c>
      <c r="L1380" t="s">
        <v>263</v>
      </c>
      <c r="M1380" t="s">
        <v>74</v>
      </c>
      <c r="N1380" t="s">
        <v>196</v>
      </c>
    </row>
    <row r="1381" spans="1:14" x14ac:dyDescent="0.45">
      <c r="A1381">
        <v>1380</v>
      </c>
      <c r="B1381">
        <v>522</v>
      </c>
      <c r="C1381" t="s">
        <v>72</v>
      </c>
      <c r="D1381" t="s">
        <v>862</v>
      </c>
      <c r="E1381">
        <v>4090</v>
      </c>
      <c r="F1381" t="s">
        <v>107</v>
      </c>
      <c r="G1381" t="s">
        <v>99</v>
      </c>
      <c r="H1381" t="s">
        <v>261</v>
      </c>
      <c r="I1381">
        <v>0</v>
      </c>
      <c r="J1381">
        <v>3231.8</v>
      </c>
      <c r="K1381" t="s">
        <v>868</v>
      </c>
      <c r="L1381" t="s">
        <v>263</v>
      </c>
      <c r="M1381" t="s">
        <v>74</v>
      </c>
      <c r="N1381" t="s">
        <v>196</v>
      </c>
    </row>
    <row r="1382" spans="1:14" x14ac:dyDescent="0.45">
      <c r="A1382">
        <v>1381</v>
      </c>
      <c r="B1382">
        <v>523</v>
      </c>
      <c r="C1382" t="s">
        <v>74</v>
      </c>
      <c r="D1382" t="s">
        <v>862</v>
      </c>
      <c r="E1382">
        <v>6070</v>
      </c>
      <c r="F1382" t="s">
        <v>131</v>
      </c>
      <c r="G1382" t="s">
        <v>117</v>
      </c>
      <c r="H1382" t="s">
        <v>261</v>
      </c>
      <c r="I1382">
        <v>3231.8</v>
      </c>
      <c r="J1382">
        <v>0</v>
      </c>
      <c r="K1382" t="s">
        <v>864</v>
      </c>
      <c r="L1382" t="s">
        <v>263</v>
      </c>
      <c r="M1382" t="s">
        <v>72</v>
      </c>
      <c r="N1382" t="s">
        <v>196</v>
      </c>
    </row>
    <row r="1383" spans="1:14" x14ac:dyDescent="0.45">
      <c r="A1383">
        <v>1382</v>
      </c>
      <c r="B1383">
        <v>523</v>
      </c>
      <c r="C1383" t="s">
        <v>74</v>
      </c>
      <c r="D1383" t="s">
        <v>862</v>
      </c>
      <c r="E1383">
        <v>2200</v>
      </c>
      <c r="F1383" t="s">
        <v>93</v>
      </c>
      <c r="G1383" t="s">
        <v>89</v>
      </c>
      <c r="H1383" t="s">
        <v>261</v>
      </c>
      <c r="I1383">
        <v>0</v>
      </c>
      <c r="J1383">
        <v>3231.8</v>
      </c>
      <c r="K1383" t="s">
        <v>864</v>
      </c>
      <c r="L1383" t="s">
        <v>263</v>
      </c>
      <c r="M1383" t="s">
        <v>72</v>
      </c>
      <c r="N1383" t="s">
        <v>196</v>
      </c>
    </row>
    <row r="1384" spans="1:14" x14ac:dyDescent="0.45">
      <c r="A1384">
        <v>1383</v>
      </c>
      <c r="B1384">
        <v>524</v>
      </c>
      <c r="C1384" t="s">
        <v>74</v>
      </c>
      <c r="D1384" t="s">
        <v>865</v>
      </c>
      <c r="E1384">
        <v>2200</v>
      </c>
      <c r="F1384" t="s">
        <v>93</v>
      </c>
      <c r="G1384" t="s">
        <v>89</v>
      </c>
      <c r="H1384" t="s">
        <v>261</v>
      </c>
      <c r="I1384">
        <v>3203.2</v>
      </c>
      <c r="J1384">
        <v>0</v>
      </c>
      <c r="K1384" t="s">
        <v>866</v>
      </c>
      <c r="L1384" t="s">
        <v>309</v>
      </c>
      <c r="M1384" t="s">
        <v>72</v>
      </c>
      <c r="N1384" t="s">
        <v>196</v>
      </c>
    </row>
    <row r="1385" spans="1:14" x14ac:dyDescent="0.45">
      <c r="A1385">
        <v>1384</v>
      </c>
      <c r="B1385">
        <v>524</v>
      </c>
      <c r="C1385" t="s">
        <v>74</v>
      </c>
      <c r="D1385" t="s">
        <v>865</v>
      </c>
      <c r="E1385">
        <v>1000</v>
      </c>
      <c r="F1385" t="s">
        <v>77</v>
      </c>
      <c r="G1385" t="s">
        <v>78</v>
      </c>
      <c r="H1385" t="s">
        <v>218</v>
      </c>
      <c r="I1385">
        <v>0</v>
      </c>
      <c r="J1385">
        <v>3203.2</v>
      </c>
      <c r="K1385" t="s">
        <v>866</v>
      </c>
      <c r="L1385" t="s">
        <v>309</v>
      </c>
      <c r="M1385" t="s">
        <v>72</v>
      </c>
      <c r="N1385" t="s">
        <v>196</v>
      </c>
    </row>
    <row r="1386" spans="1:14" x14ac:dyDescent="0.45">
      <c r="A1386">
        <v>1385</v>
      </c>
      <c r="B1386">
        <v>525</v>
      </c>
      <c r="C1386" t="s">
        <v>72</v>
      </c>
      <c r="D1386" t="s">
        <v>865</v>
      </c>
      <c r="E1386">
        <v>1000</v>
      </c>
      <c r="F1386" t="s">
        <v>77</v>
      </c>
      <c r="G1386" t="s">
        <v>78</v>
      </c>
      <c r="H1386" t="s">
        <v>218</v>
      </c>
      <c r="I1386">
        <v>3203.2</v>
      </c>
      <c r="J1386">
        <v>0</v>
      </c>
      <c r="K1386" t="s">
        <v>869</v>
      </c>
      <c r="L1386" t="s">
        <v>309</v>
      </c>
      <c r="M1386" t="s">
        <v>74</v>
      </c>
      <c r="N1386" t="s">
        <v>196</v>
      </c>
    </row>
    <row r="1387" spans="1:14" x14ac:dyDescent="0.45">
      <c r="A1387">
        <v>1386</v>
      </c>
      <c r="B1387">
        <v>525</v>
      </c>
      <c r="C1387" t="s">
        <v>72</v>
      </c>
      <c r="D1387" t="s">
        <v>865</v>
      </c>
      <c r="E1387">
        <v>1300</v>
      </c>
      <c r="F1387" t="s">
        <v>84</v>
      </c>
      <c r="G1387" t="s">
        <v>78</v>
      </c>
      <c r="H1387" t="s">
        <v>261</v>
      </c>
      <c r="I1387">
        <v>0</v>
      </c>
      <c r="J1387">
        <v>3203.2</v>
      </c>
      <c r="K1387" t="s">
        <v>869</v>
      </c>
      <c r="L1387" t="s">
        <v>309</v>
      </c>
      <c r="M1387" t="s">
        <v>74</v>
      </c>
      <c r="N1387" t="s">
        <v>196</v>
      </c>
    </row>
    <row r="1388" spans="1:14" x14ac:dyDescent="0.45">
      <c r="A1388">
        <v>1387</v>
      </c>
      <c r="B1388">
        <v>526</v>
      </c>
      <c r="C1388" t="s">
        <v>72</v>
      </c>
      <c r="D1388" t="s">
        <v>870</v>
      </c>
      <c r="E1388">
        <v>1100</v>
      </c>
      <c r="F1388" t="s">
        <v>80</v>
      </c>
      <c r="G1388" t="s">
        <v>78</v>
      </c>
      <c r="H1388" t="s">
        <v>218</v>
      </c>
      <c r="I1388">
        <v>97351.1</v>
      </c>
      <c r="J1388">
        <v>0</v>
      </c>
      <c r="K1388" t="s">
        <v>871</v>
      </c>
      <c r="L1388" t="s">
        <v>220</v>
      </c>
      <c r="N1388" t="s">
        <v>197</v>
      </c>
    </row>
    <row r="1389" spans="1:14" x14ac:dyDescent="0.45">
      <c r="A1389">
        <v>1388</v>
      </c>
      <c r="B1389">
        <v>526</v>
      </c>
      <c r="C1389" t="s">
        <v>72</v>
      </c>
      <c r="D1389" t="s">
        <v>870</v>
      </c>
      <c r="E1389">
        <v>4010</v>
      </c>
      <c r="F1389" t="s">
        <v>101</v>
      </c>
      <c r="G1389" t="s">
        <v>99</v>
      </c>
      <c r="H1389" t="s">
        <v>218</v>
      </c>
      <c r="I1389">
        <v>0</v>
      </c>
      <c r="J1389">
        <v>40887.46</v>
      </c>
      <c r="K1389" t="s">
        <v>871</v>
      </c>
      <c r="L1389" t="s">
        <v>220</v>
      </c>
      <c r="N1389" t="s">
        <v>197</v>
      </c>
    </row>
    <row r="1390" spans="1:14" x14ac:dyDescent="0.45">
      <c r="A1390">
        <v>1389</v>
      </c>
      <c r="B1390">
        <v>526</v>
      </c>
      <c r="C1390" t="s">
        <v>72</v>
      </c>
      <c r="D1390" t="s">
        <v>870</v>
      </c>
      <c r="E1390">
        <v>4020</v>
      </c>
      <c r="F1390" t="s">
        <v>103</v>
      </c>
      <c r="G1390" t="s">
        <v>99</v>
      </c>
      <c r="H1390" t="s">
        <v>218</v>
      </c>
      <c r="I1390">
        <v>0</v>
      </c>
      <c r="J1390">
        <v>32125.86</v>
      </c>
      <c r="K1390" t="s">
        <v>871</v>
      </c>
      <c r="L1390" t="s">
        <v>220</v>
      </c>
      <c r="N1390" t="s">
        <v>197</v>
      </c>
    </row>
    <row r="1391" spans="1:14" x14ac:dyDescent="0.45">
      <c r="A1391">
        <v>1390</v>
      </c>
      <c r="B1391">
        <v>526</v>
      </c>
      <c r="C1391" t="s">
        <v>72</v>
      </c>
      <c r="D1391" t="s">
        <v>870</v>
      </c>
      <c r="E1391">
        <v>4030</v>
      </c>
      <c r="F1391" t="s">
        <v>105</v>
      </c>
      <c r="G1391" t="s">
        <v>99</v>
      </c>
      <c r="H1391" t="s">
        <v>218</v>
      </c>
      <c r="I1391">
        <v>0</v>
      </c>
      <c r="J1391">
        <v>24337.78</v>
      </c>
      <c r="K1391" t="s">
        <v>871</v>
      </c>
      <c r="L1391" t="s">
        <v>220</v>
      </c>
      <c r="N1391" t="s">
        <v>197</v>
      </c>
    </row>
    <row r="1392" spans="1:14" x14ac:dyDescent="0.45">
      <c r="A1392">
        <v>1391</v>
      </c>
      <c r="B1392">
        <v>527</v>
      </c>
      <c r="C1392" t="s">
        <v>72</v>
      </c>
      <c r="D1392" t="s">
        <v>872</v>
      </c>
      <c r="E1392">
        <v>1000</v>
      </c>
      <c r="F1392" t="s">
        <v>77</v>
      </c>
      <c r="G1392" t="s">
        <v>78</v>
      </c>
      <c r="H1392" t="s">
        <v>218</v>
      </c>
      <c r="I1392">
        <v>86060.59</v>
      </c>
      <c r="J1392">
        <v>0</v>
      </c>
      <c r="K1392" t="s">
        <v>873</v>
      </c>
      <c r="L1392" t="s">
        <v>223</v>
      </c>
      <c r="N1392" t="s">
        <v>197</v>
      </c>
    </row>
    <row r="1393" spans="1:14" x14ac:dyDescent="0.45">
      <c r="A1393">
        <v>1392</v>
      </c>
      <c r="B1393">
        <v>527</v>
      </c>
      <c r="C1393" t="s">
        <v>72</v>
      </c>
      <c r="D1393" t="s">
        <v>872</v>
      </c>
      <c r="E1393">
        <v>1100</v>
      </c>
      <c r="F1393" t="s">
        <v>80</v>
      </c>
      <c r="G1393" t="s">
        <v>78</v>
      </c>
      <c r="H1393" t="s">
        <v>218</v>
      </c>
      <c r="I1393">
        <v>0</v>
      </c>
      <c r="J1393">
        <v>86060.59</v>
      </c>
      <c r="K1393" t="s">
        <v>873</v>
      </c>
      <c r="L1393" t="s">
        <v>223</v>
      </c>
      <c r="N1393" t="s">
        <v>197</v>
      </c>
    </row>
    <row r="1394" spans="1:14" x14ac:dyDescent="0.45">
      <c r="A1394">
        <v>1393</v>
      </c>
      <c r="B1394">
        <v>528</v>
      </c>
      <c r="C1394" t="s">
        <v>72</v>
      </c>
      <c r="D1394" t="s">
        <v>874</v>
      </c>
      <c r="E1394">
        <v>5010</v>
      </c>
      <c r="F1394" t="s">
        <v>112</v>
      </c>
      <c r="G1394" t="s">
        <v>110</v>
      </c>
      <c r="H1394" t="s">
        <v>218</v>
      </c>
      <c r="I1394">
        <v>5528.91</v>
      </c>
      <c r="J1394">
        <v>0</v>
      </c>
      <c r="K1394" t="s">
        <v>875</v>
      </c>
      <c r="L1394" t="s">
        <v>226</v>
      </c>
      <c r="N1394" t="s">
        <v>197</v>
      </c>
    </row>
    <row r="1395" spans="1:14" x14ac:dyDescent="0.45">
      <c r="A1395">
        <v>1394</v>
      </c>
      <c r="B1395">
        <v>528</v>
      </c>
      <c r="C1395" t="s">
        <v>72</v>
      </c>
      <c r="D1395" t="s">
        <v>874</v>
      </c>
      <c r="E1395">
        <v>5020</v>
      </c>
      <c r="F1395" t="s">
        <v>114</v>
      </c>
      <c r="G1395" t="s">
        <v>110</v>
      </c>
      <c r="H1395" t="s">
        <v>218</v>
      </c>
      <c r="I1395">
        <v>4523.6499999999996</v>
      </c>
      <c r="J1395">
        <v>0</v>
      </c>
      <c r="K1395" t="s">
        <v>875</v>
      </c>
      <c r="L1395" t="s">
        <v>226</v>
      </c>
      <c r="N1395" t="s">
        <v>197</v>
      </c>
    </row>
    <row r="1396" spans="1:14" x14ac:dyDescent="0.45">
      <c r="A1396">
        <v>1395</v>
      </c>
      <c r="B1396">
        <v>528</v>
      </c>
      <c r="C1396" t="s">
        <v>72</v>
      </c>
      <c r="D1396" t="s">
        <v>874</v>
      </c>
      <c r="E1396">
        <v>1000</v>
      </c>
      <c r="F1396" t="s">
        <v>77</v>
      </c>
      <c r="G1396" t="s">
        <v>78</v>
      </c>
      <c r="H1396" t="s">
        <v>218</v>
      </c>
      <c r="I1396">
        <v>0</v>
      </c>
      <c r="J1396">
        <v>7036.79</v>
      </c>
      <c r="K1396" t="s">
        <v>875</v>
      </c>
      <c r="L1396" t="s">
        <v>226</v>
      </c>
      <c r="N1396" t="s">
        <v>197</v>
      </c>
    </row>
    <row r="1397" spans="1:14" x14ac:dyDescent="0.45">
      <c r="A1397">
        <v>1396</v>
      </c>
      <c r="B1397">
        <v>528</v>
      </c>
      <c r="C1397" t="s">
        <v>72</v>
      </c>
      <c r="D1397" t="s">
        <v>874</v>
      </c>
      <c r="E1397">
        <v>2000</v>
      </c>
      <c r="F1397" t="s">
        <v>88</v>
      </c>
      <c r="G1397" t="s">
        <v>89</v>
      </c>
      <c r="H1397" t="s">
        <v>218</v>
      </c>
      <c r="I1397">
        <v>0</v>
      </c>
      <c r="J1397">
        <v>3015.77</v>
      </c>
      <c r="K1397" t="s">
        <v>875</v>
      </c>
      <c r="L1397" t="s">
        <v>226</v>
      </c>
      <c r="N1397" t="s">
        <v>197</v>
      </c>
    </row>
    <row r="1398" spans="1:14" x14ac:dyDescent="0.45">
      <c r="A1398">
        <v>1397</v>
      </c>
      <c r="B1398">
        <v>529</v>
      </c>
      <c r="C1398" t="s">
        <v>72</v>
      </c>
      <c r="D1398" t="s">
        <v>876</v>
      </c>
      <c r="E1398">
        <v>6010</v>
      </c>
      <c r="F1398" t="s">
        <v>119</v>
      </c>
      <c r="G1398" t="s">
        <v>117</v>
      </c>
      <c r="H1398" t="s">
        <v>218</v>
      </c>
      <c r="I1398">
        <v>47888</v>
      </c>
      <c r="J1398">
        <v>0</v>
      </c>
      <c r="K1398" t="s">
        <v>877</v>
      </c>
      <c r="L1398" t="s">
        <v>229</v>
      </c>
      <c r="N1398" t="s">
        <v>197</v>
      </c>
    </row>
    <row r="1399" spans="1:14" x14ac:dyDescent="0.45">
      <c r="A1399">
        <v>1398</v>
      </c>
      <c r="B1399">
        <v>529</v>
      </c>
      <c r="C1399" t="s">
        <v>72</v>
      </c>
      <c r="D1399" t="s">
        <v>876</v>
      </c>
      <c r="E1399">
        <v>6020</v>
      </c>
      <c r="F1399" t="s">
        <v>121</v>
      </c>
      <c r="G1399" t="s">
        <v>117</v>
      </c>
      <c r="H1399" t="s">
        <v>218</v>
      </c>
      <c r="I1399">
        <v>6704.32</v>
      </c>
      <c r="J1399">
        <v>0</v>
      </c>
      <c r="K1399" t="s">
        <v>877</v>
      </c>
      <c r="L1399" t="s">
        <v>229</v>
      </c>
      <c r="N1399" t="s">
        <v>197</v>
      </c>
    </row>
    <row r="1400" spans="1:14" x14ac:dyDescent="0.45">
      <c r="A1400">
        <v>1399</v>
      </c>
      <c r="B1400">
        <v>529</v>
      </c>
      <c r="C1400" t="s">
        <v>72</v>
      </c>
      <c r="D1400" t="s">
        <v>876</v>
      </c>
      <c r="E1400">
        <v>1000</v>
      </c>
      <c r="F1400" t="s">
        <v>77</v>
      </c>
      <c r="G1400" t="s">
        <v>78</v>
      </c>
      <c r="H1400" t="s">
        <v>218</v>
      </c>
      <c r="I1400">
        <v>0</v>
      </c>
      <c r="J1400">
        <v>54536.23</v>
      </c>
      <c r="K1400" t="s">
        <v>877</v>
      </c>
      <c r="L1400" t="s">
        <v>229</v>
      </c>
      <c r="N1400" t="s">
        <v>197</v>
      </c>
    </row>
    <row r="1401" spans="1:14" x14ac:dyDescent="0.45">
      <c r="A1401">
        <v>1400</v>
      </c>
      <c r="B1401">
        <v>529</v>
      </c>
      <c r="C1401" t="s">
        <v>72</v>
      </c>
      <c r="D1401" t="s">
        <v>876</v>
      </c>
      <c r="E1401">
        <v>2100</v>
      </c>
      <c r="F1401" t="s">
        <v>91</v>
      </c>
      <c r="G1401" t="s">
        <v>89</v>
      </c>
      <c r="H1401" t="s">
        <v>218</v>
      </c>
      <c r="I1401">
        <v>0</v>
      </c>
      <c r="J1401">
        <v>5459.23</v>
      </c>
      <c r="K1401" t="s">
        <v>877</v>
      </c>
      <c r="L1401" t="s">
        <v>229</v>
      </c>
      <c r="N1401" t="s">
        <v>197</v>
      </c>
    </row>
    <row r="1402" spans="1:14" x14ac:dyDescent="0.45">
      <c r="A1402">
        <v>1401</v>
      </c>
      <c r="B1402">
        <v>529</v>
      </c>
      <c r="C1402" t="s">
        <v>72</v>
      </c>
      <c r="D1402" t="s">
        <v>876</v>
      </c>
      <c r="E1402">
        <v>2100</v>
      </c>
      <c r="F1402" t="s">
        <v>91</v>
      </c>
      <c r="G1402" t="s">
        <v>89</v>
      </c>
      <c r="H1402" t="s">
        <v>218</v>
      </c>
      <c r="I1402">
        <v>5403.14</v>
      </c>
      <c r="J1402">
        <v>0</v>
      </c>
      <c r="K1402" t="s">
        <v>877</v>
      </c>
      <c r="L1402" t="s">
        <v>229</v>
      </c>
      <c r="N1402" t="s">
        <v>197</v>
      </c>
    </row>
    <row r="1403" spans="1:14" x14ac:dyDescent="0.45">
      <c r="A1403">
        <v>1402</v>
      </c>
      <c r="B1403">
        <v>530</v>
      </c>
      <c r="C1403" t="s">
        <v>72</v>
      </c>
      <c r="D1403" t="s">
        <v>878</v>
      </c>
      <c r="E1403">
        <v>6030</v>
      </c>
      <c r="F1403" t="s">
        <v>123</v>
      </c>
      <c r="G1403" t="s">
        <v>117</v>
      </c>
      <c r="H1403" t="s">
        <v>218</v>
      </c>
      <c r="I1403">
        <v>7276</v>
      </c>
      <c r="J1403">
        <v>0</v>
      </c>
      <c r="K1403" t="s">
        <v>879</v>
      </c>
      <c r="L1403" t="s">
        <v>232</v>
      </c>
      <c r="N1403" t="s">
        <v>197</v>
      </c>
    </row>
    <row r="1404" spans="1:14" x14ac:dyDescent="0.45">
      <c r="A1404">
        <v>1403</v>
      </c>
      <c r="B1404">
        <v>530</v>
      </c>
      <c r="C1404" t="s">
        <v>72</v>
      </c>
      <c r="D1404" t="s">
        <v>878</v>
      </c>
      <c r="E1404">
        <v>1000</v>
      </c>
      <c r="F1404" t="s">
        <v>77</v>
      </c>
      <c r="G1404" t="s">
        <v>78</v>
      </c>
      <c r="H1404" t="s">
        <v>218</v>
      </c>
      <c r="I1404">
        <v>0</v>
      </c>
      <c r="J1404">
        <v>7276</v>
      </c>
      <c r="K1404" t="s">
        <v>879</v>
      </c>
      <c r="L1404" t="s">
        <v>232</v>
      </c>
      <c r="N1404" t="s">
        <v>197</v>
      </c>
    </row>
    <row r="1405" spans="1:14" x14ac:dyDescent="0.45">
      <c r="A1405">
        <v>1404</v>
      </c>
      <c r="B1405">
        <v>531</v>
      </c>
      <c r="C1405" t="s">
        <v>72</v>
      </c>
      <c r="D1405" t="s">
        <v>880</v>
      </c>
      <c r="E1405">
        <v>6040</v>
      </c>
      <c r="F1405" t="s">
        <v>125</v>
      </c>
      <c r="G1405" t="s">
        <v>117</v>
      </c>
      <c r="H1405" t="s">
        <v>218</v>
      </c>
      <c r="I1405">
        <v>2899.08</v>
      </c>
      <c r="J1405">
        <v>0</v>
      </c>
      <c r="K1405" t="s">
        <v>881</v>
      </c>
      <c r="L1405" t="s">
        <v>226</v>
      </c>
      <c r="N1405" t="s">
        <v>197</v>
      </c>
    </row>
    <row r="1406" spans="1:14" x14ac:dyDescent="0.45">
      <c r="A1406">
        <v>1405</v>
      </c>
      <c r="B1406">
        <v>531</v>
      </c>
      <c r="C1406" t="s">
        <v>72</v>
      </c>
      <c r="D1406" t="s">
        <v>880</v>
      </c>
      <c r="E1406">
        <v>1000</v>
      </c>
      <c r="F1406" t="s">
        <v>77</v>
      </c>
      <c r="G1406" t="s">
        <v>78</v>
      </c>
      <c r="H1406" t="s">
        <v>218</v>
      </c>
      <c r="I1406">
        <v>0</v>
      </c>
      <c r="J1406">
        <v>2319.2600000000002</v>
      </c>
      <c r="K1406" t="s">
        <v>881</v>
      </c>
      <c r="L1406" t="s">
        <v>226</v>
      </c>
      <c r="N1406" t="s">
        <v>197</v>
      </c>
    </row>
    <row r="1407" spans="1:14" x14ac:dyDescent="0.45">
      <c r="A1407">
        <v>1406</v>
      </c>
      <c r="B1407">
        <v>531</v>
      </c>
      <c r="C1407" t="s">
        <v>72</v>
      </c>
      <c r="D1407" t="s">
        <v>880</v>
      </c>
      <c r="E1407">
        <v>2000</v>
      </c>
      <c r="F1407" t="s">
        <v>88</v>
      </c>
      <c r="G1407" t="s">
        <v>89</v>
      </c>
      <c r="H1407" t="s">
        <v>218</v>
      </c>
      <c r="I1407">
        <v>0</v>
      </c>
      <c r="J1407">
        <v>579.82000000000005</v>
      </c>
      <c r="K1407" t="s">
        <v>881</v>
      </c>
      <c r="L1407" t="s">
        <v>226</v>
      </c>
      <c r="N1407" t="s">
        <v>197</v>
      </c>
    </row>
    <row r="1408" spans="1:14" x14ac:dyDescent="0.45">
      <c r="A1408">
        <v>1407</v>
      </c>
      <c r="B1408">
        <v>532</v>
      </c>
      <c r="C1408" t="s">
        <v>72</v>
      </c>
      <c r="D1408" t="s">
        <v>878</v>
      </c>
      <c r="E1408">
        <v>6050</v>
      </c>
      <c r="F1408" t="s">
        <v>127</v>
      </c>
      <c r="G1408" t="s">
        <v>117</v>
      </c>
      <c r="H1408" t="s">
        <v>218</v>
      </c>
      <c r="I1408">
        <v>1450</v>
      </c>
      <c r="J1408">
        <v>0</v>
      </c>
      <c r="K1408" t="s">
        <v>882</v>
      </c>
      <c r="L1408" t="s">
        <v>236</v>
      </c>
      <c r="N1408" t="s">
        <v>197</v>
      </c>
    </row>
    <row r="1409" spans="1:14" x14ac:dyDescent="0.45">
      <c r="A1409">
        <v>1408</v>
      </c>
      <c r="B1409">
        <v>532</v>
      </c>
      <c r="C1409" t="s">
        <v>72</v>
      </c>
      <c r="D1409" t="s">
        <v>878</v>
      </c>
      <c r="E1409">
        <v>1200</v>
      </c>
      <c r="F1409" t="s">
        <v>82</v>
      </c>
      <c r="G1409" t="s">
        <v>78</v>
      </c>
      <c r="H1409" t="s">
        <v>218</v>
      </c>
      <c r="I1409">
        <v>0</v>
      </c>
      <c r="J1409">
        <v>1450</v>
      </c>
      <c r="K1409" t="s">
        <v>882</v>
      </c>
      <c r="L1409" t="s">
        <v>236</v>
      </c>
      <c r="N1409" t="s">
        <v>197</v>
      </c>
    </row>
    <row r="1410" spans="1:14" x14ac:dyDescent="0.45">
      <c r="A1410">
        <v>1409</v>
      </c>
      <c r="B1410">
        <v>533</v>
      </c>
      <c r="C1410" t="s">
        <v>72</v>
      </c>
      <c r="D1410" t="s">
        <v>883</v>
      </c>
      <c r="E1410">
        <v>6060</v>
      </c>
      <c r="F1410" t="s">
        <v>129</v>
      </c>
      <c r="G1410" t="s">
        <v>117</v>
      </c>
      <c r="H1410" t="s">
        <v>218</v>
      </c>
      <c r="I1410">
        <v>2394</v>
      </c>
      <c r="J1410">
        <v>0</v>
      </c>
      <c r="K1410" t="s">
        <v>884</v>
      </c>
      <c r="L1410" t="s">
        <v>232</v>
      </c>
      <c r="N1410" t="s">
        <v>197</v>
      </c>
    </row>
    <row r="1411" spans="1:14" x14ac:dyDescent="0.45">
      <c r="A1411">
        <v>1410</v>
      </c>
      <c r="B1411">
        <v>533</v>
      </c>
      <c r="C1411" t="s">
        <v>72</v>
      </c>
      <c r="D1411" t="s">
        <v>883</v>
      </c>
      <c r="E1411">
        <v>1000</v>
      </c>
      <c r="F1411" t="s">
        <v>77</v>
      </c>
      <c r="G1411" t="s">
        <v>78</v>
      </c>
      <c r="H1411" t="s">
        <v>218</v>
      </c>
      <c r="I1411">
        <v>0</v>
      </c>
      <c r="J1411">
        <v>2394</v>
      </c>
      <c r="K1411" t="s">
        <v>884</v>
      </c>
      <c r="L1411" t="s">
        <v>232</v>
      </c>
      <c r="N1411" t="s">
        <v>197</v>
      </c>
    </row>
    <row r="1412" spans="1:14" x14ac:dyDescent="0.45">
      <c r="A1412">
        <v>1411</v>
      </c>
      <c r="B1412">
        <v>534</v>
      </c>
      <c r="C1412" t="s">
        <v>72</v>
      </c>
      <c r="D1412" t="s">
        <v>885</v>
      </c>
      <c r="E1412">
        <v>7000</v>
      </c>
      <c r="F1412" t="s">
        <v>133</v>
      </c>
      <c r="G1412" t="s">
        <v>117</v>
      </c>
      <c r="H1412" t="s">
        <v>218</v>
      </c>
      <c r="I1412">
        <v>1100</v>
      </c>
      <c r="J1412">
        <v>0</v>
      </c>
      <c r="K1412" t="s">
        <v>886</v>
      </c>
      <c r="L1412" t="s">
        <v>241</v>
      </c>
      <c r="N1412" t="s">
        <v>197</v>
      </c>
    </row>
    <row r="1413" spans="1:14" x14ac:dyDescent="0.45">
      <c r="A1413">
        <v>1412</v>
      </c>
      <c r="B1413">
        <v>534</v>
      </c>
      <c r="C1413" t="s">
        <v>72</v>
      </c>
      <c r="D1413" t="s">
        <v>885</v>
      </c>
      <c r="E1413">
        <v>1500</v>
      </c>
      <c r="F1413" t="s">
        <v>86</v>
      </c>
      <c r="G1413" t="s">
        <v>78</v>
      </c>
      <c r="H1413" t="s">
        <v>218</v>
      </c>
      <c r="I1413">
        <v>0</v>
      </c>
      <c r="J1413">
        <v>1100</v>
      </c>
      <c r="K1413" t="s">
        <v>886</v>
      </c>
      <c r="L1413" t="s">
        <v>241</v>
      </c>
      <c r="N1413" t="s">
        <v>197</v>
      </c>
    </row>
    <row r="1414" spans="1:14" x14ac:dyDescent="0.45">
      <c r="A1414">
        <v>1413</v>
      </c>
      <c r="B1414">
        <v>535</v>
      </c>
      <c r="C1414" t="s">
        <v>72</v>
      </c>
      <c r="D1414" t="s">
        <v>887</v>
      </c>
      <c r="E1414">
        <v>2000</v>
      </c>
      <c r="F1414" t="s">
        <v>88</v>
      </c>
      <c r="G1414" t="s">
        <v>89</v>
      </c>
      <c r="H1414" t="s">
        <v>218</v>
      </c>
      <c r="I1414">
        <v>4152.62</v>
      </c>
      <c r="J1414">
        <v>0</v>
      </c>
      <c r="K1414" t="s">
        <v>888</v>
      </c>
      <c r="L1414" t="s">
        <v>232</v>
      </c>
      <c r="N1414" t="s">
        <v>197</v>
      </c>
    </row>
    <row r="1415" spans="1:14" x14ac:dyDescent="0.45">
      <c r="A1415">
        <v>1414</v>
      </c>
      <c r="B1415">
        <v>535</v>
      </c>
      <c r="C1415" t="s">
        <v>72</v>
      </c>
      <c r="D1415" t="s">
        <v>887</v>
      </c>
      <c r="E1415">
        <v>1000</v>
      </c>
      <c r="F1415" t="s">
        <v>77</v>
      </c>
      <c r="G1415" t="s">
        <v>78</v>
      </c>
      <c r="H1415" t="s">
        <v>218</v>
      </c>
      <c r="I1415">
        <v>0</v>
      </c>
      <c r="J1415">
        <v>4152.62</v>
      </c>
      <c r="K1415" t="s">
        <v>888</v>
      </c>
      <c r="L1415" t="s">
        <v>232</v>
      </c>
      <c r="N1415" t="s">
        <v>197</v>
      </c>
    </row>
    <row r="1416" spans="1:14" x14ac:dyDescent="0.45">
      <c r="A1416">
        <v>1415</v>
      </c>
      <c r="B1416">
        <v>536</v>
      </c>
      <c r="C1416" t="s">
        <v>73</v>
      </c>
      <c r="D1416" t="s">
        <v>870</v>
      </c>
      <c r="E1416">
        <v>1100</v>
      </c>
      <c r="F1416" t="s">
        <v>80</v>
      </c>
      <c r="G1416" t="s">
        <v>78</v>
      </c>
      <c r="H1416" t="s">
        <v>218</v>
      </c>
      <c r="I1416">
        <v>63657.99</v>
      </c>
      <c r="J1416">
        <v>0</v>
      </c>
      <c r="K1416" t="s">
        <v>889</v>
      </c>
      <c r="L1416" t="s">
        <v>220</v>
      </c>
      <c r="N1416" t="s">
        <v>197</v>
      </c>
    </row>
    <row r="1417" spans="1:14" x14ac:dyDescent="0.45">
      <c r="A1417">
        <v>1416</v>
      </c>
      <c r="B1417">
        <v>536</v>
      </c>
      <c r="C1417" t="s">
        <v>73</v>
      </c>
      <c r="D1417" t="s">
        <v>870</v>
      </c>
      <c r="E1417">
        <v>4010</v>
      </c>
      <c r="F1417" t="s">
        <v>101</v>
      </c>
      <c r="G1417" t="s">
        <v>99</v>
      </c>
      <c r="H1417" t="s">
        <v>218</v>
      </c>
      <c r="I1417">
        <v>0</v>
      </c>
      <c r="J1417">
        <v>26736.36</v>
      </c>
      <c r="K1417" t="s">
        <v>889</v>
      </c>
      <c r="L1417" t="s">
        <v>220</v>
      </c>
      <c r="N1417" t="s">
        <v>197</v>
      </c>
    </row>
    <row r="1418" spans="1:14" x14ac:dyDescent="0.45">
      <c r="A1418">
        <v>1417</v>
      </c>
      <c r="B1418">
        <v>536</v>
      </c>
      <c r="C1418" t="s">
        <v>73</v>
      </c>
      <c r="D1418" t="s">
        <v>870</v>
      </c>
      <c r="E1418">
        <v>4020</v>
      </c>
      <c r="F1418" t="s">
        <v>103</v>
      </c>
      <c r="G1418" t="s">
        <v>99</v>
      </c>
      <c r="H1418" t="s">
        <v>218</v>
      </c>
      <c r="I1418">
        <v>0</v>
      </c>
      <c r="J1418">
        <v>21007.14</v>
      </c>
      <c r="K1418" t="s">
        <v>889</v>
      </c>
      <c r="L1418" t="s">
        <v>220</v>
      </c>
      <c r="N1418" t="s">
        <v>197</v>
      </c>
    </row>
    <row r="1419" spans="1:14" x14ac:dyDescent="0.45">
      <c r="A1419">
        <v>1418</v>
      </c>
      <c r="B1419">
        <v>536</v>
      </c>
      <c r="C1419" t="s">
        <v>73</v>
      </c>
      <c r="D1419" t="s">
        <v>870</v>
      </c>
      <c r="E1419">
        <v>4030</v>
      </c>
      <c r="F1419" t="s">
        <v>105</v>
      </c>
      <c r="G1419" t="s">
        <v>99</v>
      </c>
      <c r="H1419" t="s">
        <v>218</v>
      </c>
      <c r="I1419">
        <v>0</v>
      </c>
      <c r="J1419">
        <v>15914.49</v>
      </c>
      <c r="K1419" t="s">
        <v>889</v>
      </c>
      <c r="L1419" t="s">
        <v>220</v>
      </c>
      <c r="N1419" t="s">
        <v>197</v>
      </c>
    </row>
    <row r="1420" spans="1:14" x14ac:dyDescent="0.45">
      <c r="A1420">
        <v>1419</v>
      </c>
      <c r="B1420">
        <v>537</v>
      </c>
      <c r="C1420" t="s">
        <v>73</v>
      </c>
      <c r="D1420" t="s">
        <v>872</v>
      </c>
      <c r="E1420">
        <v>1000</v>
      </c>
      <c r="F1420" t="s">
        <v>77</v>
      </c>
      <c r="G1420" t="s">
        <v>78</v>
      </c>
      <c r="H1420" t="s">
        <v>218</v>
      </c>
      <c r="I1420">
        <v>61111.199999999997</v>
      </c>
      <c r="J1420">
        <v>0</v>
      </c>
      <c r="K1420" t="s">
        <v>890</v>
      </c>
      <c r="L1420" t="s">
        <v>223</v>
      </c>
      <c r="N1420" t="s">
        <v>197</v>
      </c>
    </row>
    <row r="1421" spans="1:14" x14ac:dyDescent="0.45">
      <c r="A1421">
        <v>1420</v>
      </c>
      <c r="B1421">
        <v>537</v>
      </c>
      <c r="C1421" t="s">
        <v>73</v>
      </c>
      <c r="D1421" t="s">
        <v>872</v>
      </c>
      <c r="E1421">
        <v>1100</v>
      </c>
      <c r="F1421" t="s">
        <v>80</v>
      </c>
      <c r="G1421" t="s">
        <v>78</v>
      </c>
      <c r="H1421" t="s">
        <v>218</v>
      </c>
      <c r="I1421">
        <v>0</v>
      </c>
      <c r="J1421">
        <v>61111.199999999997</v>
      </c>
      <c r="K1421" t="s">
        <v>890</v>
      </c>
      <c r="L1421" t="s">
        <v>223</v>
      </c>
      <c r="N1421" t="s">
        <v>197</v>
      </c>
    </row>
    <row r="1422" spans="1:14" x14ac:dyDescent="0.45">
      <c r="A1422">
        <v>1421</v>
      </c>
      <c r="B1422">
        <v>538</v>
      </c>
      <c r="C1422" t="s">
        <v>73</v>
      </c>
      <c r="D1422" t="s">
        <v>874</v>
      </c>
      <c r="E1422">
        <v>5010</v>
      </c>
      <c r="F1422" t="s">
        <v>112</v>
      </c>
      <c r="G1422" t="s">
        <v>110</v>
      </c>
      <c r="H1422" t="s">
        <v>218</v>
      </c>
      <c r="I1422">
        <v>3615.36</v>
      </c>
      <c r="J1422">
        <v>0</v>
      </c>
      <c r="K1422" t="s">
        <v>891</v>
      </c>
      <c r="L1422" t="s">
        <v>226</v>
      </c>
      <c r="N1422" t="s">
        <v>197</v>
      </c>
    </row>
    <row r="1423" spans="1:14" x14ac:dyDescent="0.45">
      <c r="A1423">
        <v>1422</v>
      </c>
      <c r="B1423">
        <v>538</v>
      </c>
      <c r="C1423" t="s">
        <v>73</v>
      </c>
      <c r="D1423" t="s">
        <v>874</v>
      </c>
      <c r="E1423">
        <v>5020</v>
      </c>
      <c r="F1423" t="s">
        <v>114</v>
      </c>
      <c r="G1423" t="s">
        <v>110</v>
      </c>
      <c r="H1423" t="s">
        <v>218</v>
      </c>
      <c r="I1423">
        <v>2958.02</v>
      </c>
      <c r="J1423">
        <v>0</v>
      </c>
      <c r="K1423" t="s">
        <v>891</v>
      </c>
      <c r="L1423" t="s">
        <v>226</v>
      </c>
      <c r="N1423" t="s">
        <v>197</v>
      </c>
    </row>
    <row r="1424" spans="1:14" x14ac:dyDescent="0.45">
      <c r="A1424">
        <v>1423</v>
      </c>
      <c r="B1424">
        <v>538</v>
      </c>
      <c r="C1424" t="s">
        <v>73</v>
      </c>
      <c r="D1424" t="s">
        <v>874</v>
      </c>
      <c r="E1424">
        <v>1000</v>
      </c>
      <c r="F1424" t="s">
        <v>77</v>
      </c>
      <c r="G1424" t="s">
        <v>78</v>
      </c>
      <c r="H1424" t="s">
        <v>218</v>
      </c>
      <c r="I1424">
        <v>0</v>
      </c>
      <c r="J1424">
        <v>4601.37</v>
      </c>
      <c r="K1424" t="s">
        <v>891</v>
      </c>
      <c r="L1424" t="s">
        <v>226</v>
      </c>
      <c r="N1424" t="s">
        <v>197</v>
      </c>
    </row>
    <row r="1425" spans="1:14" x14ac:dyDescent="0.45">
      <c r="A1425">
        <v>1424</v>
      </c>
      <c r="B1425">
        <v>538</v>
      </c>
      <c r="C1425" t="s">
        <v>73</v>
      </c>
      <c r="D1425" t="s">
        <v>874</v>
      </c>
      <c r="E1425">
        <v>2000</v>
      </c>
      <c r="F1425" t="s">
        <v>88</v>
      </c>
      <c r="G1425" t="s">
        <v>89</v>
      </c>
      <c r="H1425" t="s">
        <v>218</v>
      </c>
      <c r="I1425">
        <v>0</v>
      </c>
      <c r="J1425">
        <v>1972.01</v>
      </c>
      <c r="K1425" t="s">
        <v>891</v>
      </c>
      <c r="L1425" t="s">
        <v>226</v>
      </c>
      <c r="N1425" t="s">
        <v>197</v>
      </c>
    </row>
    <row r="1426" spans="1:14" x14ac:dyDescent="0.45">
      <c r="A1426">
        <v>1425</v>
      </c>
      <c r="B1426">
        <v>539</v>
      </c>
      <c r="C1426" t="s">
        <v>73</v>
      </c>
      <c r="D1426" t="s">
        <v>876</v>
      </c>
      <c r="E1426">
        <v>6010</v>
      </c>
      <c r="F1426" t="s">
        <v>119</v>
      </c>
      <c r="G1426" t="s">
        <v>117</v>
      </c>
      <c r="H1426" t="s">
        <v>218</v>
      </c>
      <c r="I1426">
        <v>29690.560000000001</v>
      </c>
      <c r="J1426">
        <v>0</v>
      </c>
      <c r="K1426" t="s">
        <v>892</v>
      </c>
      <c r="L1426" t="s">
        <v>229</v>
      </c>
      <c r="N1426" t="s">
        <v>197</v>
      </c>
    </row>
    <row r="1427" spans="1:14" x14ac:dyDescent="0.45">
      <c r="A1427">
        <v>1426</v>
      </c>
      <c r="B1427">
        <v>539</v>
      </c>
      <c r="C1427" t="s">
        <v>73</v>
      </c>
      <c r="D1427" t="s">
        <v>876</v>
      </c>
      <c r="E1427">
        <v>6020</v>
      </c>
      <c r="F1427" t="s">
        <v>121</v>
      </c>
      <c r="G1427" t="s">
        <v>117</v>
      </c>
      <c r="H1427" t="s">
        <v>218</v>
      </c>
      <c r="I1427">
        <v>4156.68</v>
      </c>
      <c r="J1427">
        <v>0</v>
      </c>
      <c r="K1427" t="s">
        <v>892</v>
      </c>
      <c r="L1427" t="s">
        <v>229</v>
      </c>
      <c r="N1427" t="s">
        <v>197</v>
      </c>
    </row>
    <row r="1428" spans="1:14" x14ac:dyDescent="0.45">
      <c r="A1428">
        <v>1427</v>
      </c>
      <c r="B1428">
        <v>539</v>
      </c>
      <c r="C1428" t="s">
        <v>73</v>
      </c>
      <c r="D1428" t="s">
        <v>876</v>
      </c>
      <c r="E1428">
        <v>1000</v>
      </c>
      <c r="F1428" t="s">
        <v>77</v>
      </c>
      <c r="G1428" t="s">
        <v>78</v>
      </c>
      <c r="H1428" t="s">
        <v>218</v>
      </c>
      <c r="I1428">
        <v>0</v>
      </c>
      <c r="J1428">
        <v>33812.47</v>
      </c>
      <c r="K1428" t="s">
        <v>892</v>
      </c>
      <c r="L1428" t="s">
        <v>229</v>
      </c>
      <c r="N1428" t="s">
        <v>197</v>
      </c>
    </row>
    <row r="1429" spans="1:14" x14ac:dyDescent="0.45">
      <c r="A1429">
        <v>1428</v>
      </c>
      <c r="B1429">
        <v>539</v>
      </c>
      <c r="C1429" t="s">
        <v>73</v>
      </c>
      <c r="D1429" t="s">
        <v>876</v>
      </c>
      <c r="E1429">
        <v>2100</v>
      </c>
      <c r="F1429" t="s">
        <v>91</v>
      </c>
      <c r="G1429" t="s">
        <v>89</v>
      </c>
      <c r="H1429" t="s">
        <v>218</v>
      </c>
      <c r="I1429">
        <v>0</v>
      </c>
      <c r="J1429">
        <v>3384.72</v>
      </c>
      <c r="K1429" t="s">
        <v>892</v>
      </c>
      <c r="L1429" t="s">
        <v>229</v>
      </c>
      <c r="N1429" t="s">
        <v>197</v>
      </c>
    </row>
    <row r="1430" spans="1:14" x14ac:dyDescent="0.45">
      <c r="A1430">
        <v>1429</v>
      </c>
      <c r="B1430">
        <v>539</v>
      </c>
      <c r="C1430" t="s">
        <v>73</v>
      </c>
      <c r="D1430" t="s">
        <v>876</v>
      </c>
      <c r="E1430">
        <v>2100</v>
      </c>
      <c r="F1430" t="s">
        <v>91</v>
      </c>
      <c r="G1430" t="s">
        <v>89</v>
      </c>
      <c r="H1430" t="s">
        <v>218</v>
      </c>
      <c r="I1430">
        <v>3349.95</v>
      </c>
      <c r="J1430">
        <v>0</v>
      </c>
      <c r="K1430" t="s">
        <v>892</v>
      </c>
      <c r="L1430" t="s">
        <v>229</v>
      </c>
      <c r="N1430" t="s">
        <v>197</v>
      </c>
    </row>
    <row r="1431" spans="1:14" x14ac:dyDescent="0.45">
      <c r="A1431">
        <v>1430</v>
      </c>
      <c r="B1431">
        <v>540</v>
      </c>
      <c r="C1431" t="s">
        <v>73</v>
      </c>
      <c r="D1431" t="s">
        <v>878</v>
      </c>
      <c r="E1431">
        <v>6030</v>
      </c>
      <c r="F1431" t="s">
        <v>123</v>
      </c>
      <c r="G1431" t="s">
        <v>117</v>
      </c>
      <c r="H1431" t="s">
        <v>218</v>
      </c>
      <c r="I1431">
        <v>4511.12</v>
      </c>
      <c r="J1431">
        <v>0</v>
      </c>
      <c r="K1431" t="s">
        <v>893</v>
      </c>
      <c r="L1431" t="s">
        <v>232</v>
      </c>
      <c r="N1431" t="s">
        <v>197</v>
      </c>
    </row>
    <row r="1432" spans="1:14" x14ac:dyDescent="0.45">
      <c r="A1432">
        <v>1431</v>
      </c>
      <c r="B1432">
        <v>540</v>
      </c>
      <c r="C1432" t="s">
        <v>73</v>
      </c>
      <c r="D1432" t="s">
        <v>878</v>
      </c>
      <c r="E1432">
        <v>1000</v>
      </c>
      <c r="F1432" t="s">
        <v>77</v>
      </c>
      <c r="G1432" t="s">
        <v>78</v>
      </c>
      <c r="H1432" t="s">
        <v>218</v>
      </c>
      <c r="I1432">
        <v>0</v>
      </c>
      <c r="J1432">
        <v>4511.12</v>
      </c>
      <c r="K1432" t="s">
        <v>893</v>
      </c>
      <c r="L1432" t="s">
        <v>232</v>
      </c>
      <c r="N1432" t="s">
        <v>197</v>
      </c>
    </row>
    <row r="1433" spans="1:14" x14ac:dyDescent="0.45">
      <c r="A1433">
        <v>1432</v>
      </c>
      <c r="B1433">
        <v>541</v>
      </c>
      <c r="C1433" t="s">
        <v>73</v>
      </c>
      <c r="D1433" t="s">
        <v>880</v>
      </c>
      <c r="E1433">
        <v>6040</v>
      </c>
      <c r="F1433" t="s">
        <v>125</v>
      </c>
      <c r="G1433" t="s">
        <v>117</v>
      </c>
      <c r="H1433" t="s">
        <v>218</v>
      </c>
      <c r="I1433">
        <v>1895.71</v>
      </c>
      <c r="J1433">
        <v>0</v>
      </c>
      <c r="K1433" t="s">
        <v>894</v>
      </c>
      <c r="L1433" t="s">
        <v>226</v>
      </c>
      <c r="N1433" t="s">
        <v>197</v>
      </c>
    </row>
    <row r="1434" spans="1:14" x14ac:dyDescent="0.45">
      <c r="A1434">
        <v>1433</v>
      </c>
      <c r="B1434">
        <v>541</v>
      </c>
      <c r="C1434" t="s">
        <v>73</v>
      </c>
      <c r="D1434" t="s">
        <v>880</v>
      </c>
      <c r="E1434">
        <v>1000</v>
      </c>
      <c r="F1434" t="s">
        <v>77</v>
      </c>
      <c r="G1434" t="s">
        <v>78</v>
      </c>
      <c r="H1434" t="s">
        <v>218</v>
      </c>
      <c r="I1434">
        <v>0</v>
      </c>
      <c r="J1434">
        <v>1516.57</v>
      </c>
      <c r="K1434" t="s">
        <v>894</v>
      </c>
      <c r="L1434" t="s">
        <v>226</v>
      </c>
      <c r="N1434" t="s">
        <v>197</v>
      </c>
    </row>
    <row r="1435" spans="1:14" x14ac:dyDescent="0.45">
      <c r="A1435">
        <v>1434</v>
      </c>
      <c r="B1435">
        <v>541</v>
      </c>
      <c r="C1435" t="s">
        <v>73</v>
      </c>
      <c r="D1435" t="s">
        <v>880</v>
      </c>
      <c r="E1435">
        <v>2000</v>
      </c>
      <c r="F1435" t="s">
        <v>88</v>
      </c>
      <c r="G1435" t="s">
        <v>89</v>
      </c>
      <c r="H1435" t="s">
        <v>218</v>
      </c>
      <c r="I1435">
        <v>0</v>
      </c>
      <c r="J1435">
        <v>379.14</v>
      </c>
      <c r="K1435" t="s">
        <v>894</v>
      </c>
      <c r="L1435" t="s">
        <v>226</v>
      </c>
      <c r="N1435" t="s">
        <v>197</v>
      </c>
    </row>
    <row r="1436" spans="1:14" x14ac:dyDescent="0.45">
      <c r="A1436">
        <v>1435</v>
      </c>
      <c r="B1436">
        <v>542</v>
      </c>
      <c r="C1436" t="s">
        <v>73</v>
      </c>
      <c r="D1436" t="s">
        <v>878</v>
      </c>
      <c r="E1436">
        <v>6050</v>
      </c>
      <c r="F1436" t="s">
        <v>127</v>
      </c>
      <c r="G1436" t="s">
        <v>117</v>
      </c>
      <c r="H1436" t="s">
        <v>218</v>
      </c>
      <c r="I1436">
        <v>899</v>
      </c>
      <c r="J1436">
        <v>0</v>
      </c>
      <c r="K1436" t="s">
        <v>895</v>
      </c>
      <c r="L1436" t="s">
        <v>236</v>
      </c>
      <c r="N1436" t="s">
        <v>197</v>
      </c>
    </row>
    <row r="1437" spans="1:14" x14ac:dyDescent="0.45">
      <c r="A1437">
        <v>1436</v>
      </c>
      <c r="B1437">
        <v>542</v>
      </c>
      <c r="C1437" t="s">
        <v>73</v>
      </c>
      <c r="D1437" t="s">
        <v>878</v>
      </c>
      <c r="E1437">
        <v>1200</v>
      </c>
      <c r="F1437" t="s">
        <v>82</v>
      </c>
      <c r="G1437" t="s">
        <v>78</v>
      </c>
      <c r="H1437" t="s">
        <v>218</v>
      </c>
      <c r="I1437">
        <v>0</v>
      </c>
      <c r="J1437">
        <v>899</v>
      </c>
      <c r="K1437" t="s">
        <v>895</v>
      </c>
      <c r="L1437" t="s">
        <v>236</v>
      </c>
      <c r="N1437" t="s">
        <v>197</v>
      </c>
    </row>
    <row r="1438" spans="1:14" x14ac:dyDescent="0.45">
      <c r="A1438">
        <v>1437</v>
      </c>
      <c r="B1438">
        <v>543</v>
      </c>
      <c r="C1438" t="s">
        <v>73</v>
      </c>
      <c r="D1438" t="s">
        <v>883</v>
      </c>
      <c r="E1438">
        <v>6060</v>
      </c>
      <c r="F1438" t="s">
        <v>129</v>
      </c>
      <c r="G1438" t="s">
        <v>117</v>
      </c>
      <c r="H1438" t="s">
        <v>218</v>
      </c>
      <c r="I1438">
        <v>1484.28</v>
      </c>
      <c r="J1438">
        <v>0</v>
      </c>
      <c r="K1438" t="s">
        <v>896</v>
      </c>
      <c r="L1438" t="s">
        <v>232</v>
      </c>
      <c r="N1438" t="s">
        <v>197</v>
      </c>
    </row>
    <row r="1439" spans="1:14" x14ac:dyDescent="0.45">
      <c r="A1439">
        <v>1438</v>
      </c>
      <c r="B1439">
        <v>543</v>
      </c>
      <c r="C1439" t="s">
        <v>73</v>
      </c>
      <c r="D1439" t="s">
        <v>883</v>
      </c>
      <c r="E1439">
        <v>1000</v>
      </c>
      <c r="F1439" t="s">
        <v>77</v>
      </c>
      <c r="G1439" t="s">
        <v>78</v>
      </c>
      <c r="H1439" t="s">
        <v>218</v>
      </c>
      <c r="I1439">
        <v>0</v>
      </c>
      <c r="J1439">
        <v>1484.28</v>
      </c>
      <c r="K1439" t="s">
        <v>896</v>
      </c>
      <c r="L1439" t="s">
        <v>232</v>
      </c>
      <c r="N1439" t="s">
        <v>197</v>
      </c>
    </row>
    <row r="1440" spans="1:14" x14ac:dyDescent="0.45">
      <c r="A1440">
        <v>1439</v>
      </c>
      <c r="B1440">
        <v>544</v>
      </c>
      <c r="C1440" t="s">
        <v>73</v>
      </c>
      <c r="D1440" t="s">
        <v>885</v>
      </c>
      <c r="E1440">
        <v>7000</v>
      </c>
      <c r="F1440" t="s">
        <v>133</v>
      </c>
      <c r="G1440" t="s">
        <v>117</v>
      </c>
      <c r="H1440" t="s">
        <v>218</v>
      </c>
      <c r="I1440">
        <v>682</v>
      </c>
      <c r="J1440">
        <v>0</v>
      </c>
      <c r="K1440" t="s">
        <v>897</v>
      </c>
      <c r="L1440" t="s">
        <v>241</v>
      </c>
      <c r="N1440" t="s">
        <v>197</v>
      </c>
    </row>
    <row r="1441" spans="1:14" x14ac:dyDescent="0.45">
      <c r="A1441">
        <v>1440</v>
      </c>
      <c r="B1441">
        <v>544</v>
      </c>
      <c r="C1441" t="s">
        <v>73</v>
      </c>
      <c r="D1441" t="s">
        <v>885</v>
      </c>
      <c r="E1441">
        <v>1500</v>
      </c>
      <c r="F1441" t="s">
        <v>86</v>
      </c>
      <c r="G1441" t="s">
        <v>78</v>
      </c>
      <c r="H1441" t="s">
        <v>218</v>
      </c>
      <c r="I1441">
        <v>0</v>
      </c>
      <c r="J1441">
        <v>682</v>
      </c>
      <c r="K1441" t="s">
        <v>897</v>
      </c>
      <c r="L1441" t="s">
        <v>241</v>
      </c>
      <c r="N1441" t="s">
        <v>197</v>
      </c>
    </row>
    <row r="1442" spans="1:14" x14ac:dyDescent="0.45">
      <c r="A1442">
        <v>1441</v>
      </c>
      <c r="B1442">
        <v>545</v>
      </c>
      <c r="C1442" t="s">
        <v>73</v>
      </c>
      <c r="D1442" t="s">
        <v>887</v>
      </c>
      <c r="E1442">
        <v>2000</v>
      </c>
      <c r="F1442" t="s">
        <v>88</v>
      </c>
      <c r="G1442" t="s">
        <v>89</v>
      </c>
      <c r="H1442" t="s">
        <v>218</v>
      </c>
      <c r="I1442">
        <v>2399.66</v>
      </c>
      <c r="J1442">
        <v>0</v>
      </c>
      <c r="K1442" t="s">
        <v>898</v>
      </c>
      <c r="L1442" t="s">
        <v>232</v>
      </c>
      <c r="N1442" t="s">
        <v>197</v>
      </c>
    </row>
    <row r="1443" spans="1:14" x14ac:dyDescent="0.45">
      <c r="A1443">
        <v>1442</v>
      </c>
      <c r="B1443">
        <v>545</v>
      </c>
      <c r="C1443" t="s">
        <v>73</v>
      </c>
      <c r="D1443" t="s">
        <v>887</v>
      </c>
      <c r="E1443">
        <v>1000</v>
      </c>
      <c r="F1443" t="s">
        <v>77</v>
      </c>
      <c r="G1443" t="s">
        <v>78</v>
      </c>
      <c r="H1443" t="s">
        <v>218</v>
      </c>
      <c r="I1443">
        <v>0</v>
      </c>
      <c r="J1443">
        <v>2399.66</v>
      </c>
      <c r="K1443" t="s">
        <v>898</v>
      </c>
      <c r="L1443" t="s">
        <v>232</v>
      </c>
      <c r="N1443" t="s">
        <v>197</v>
      </c>
    </row>
    <row r="1444" spans="1:14" x14ac:dyDescent="0.45">
      <c r="A1444">
        <v>1443</v>
      </c>
      <c r="B1444">
        <v>546</v>
      </c>
      <c r="C1444" t="s">
        <v>74</v>
      </c>
      <c r="D1444" t="s">
        <v>870</v>
      </c>
      <c r="E1444">
        <v>1100</v>
      </c>
      <c r="F1444" t="s">
        <v>80</v>
      </c>
      <c r="G1444" t="s">
        <v>78</v>
      </c>
      <c r="H1444" t="s">
        <v>218</v>
      </c>
      <c r="I1444">
        <v>53455.7</v>
      </c>
      <c r="J1444">
        <v>0</v>
      </c>
      <c r="K1444" t="s">
        <v>899</v>
      </c>
      <c r="L1444" t="s">
        <v>220</v>
      </c>
      <c r="N1444" t="s">
        <v>197</v>
      </c>
    </row>
    <row r="1445" spans="1:14" x14ac:dyDescent="0.45">
      <c r="A1445">
        <v>1444</v>
      </c>
      <c r="B1445">
        <v>546</v>
      </c>
      <c r="C1445" t="s">
        <v>74</v>
      </c>
      <c r="D1445" t="s">
        <v>870</v>
      </c>
      <c r="E1445">
        <v>4010</v>
      </c>
      <c r="F1445" t="s">
        <v>101</v>
      </c>
      <c r="G1445" t="s">
        <v>99</v>
      </c>
      <c r="H1445" t="s">
        <v>218</v>
      </c>
      <c r="I1445">
        <v>0</v>
      </c>
      <c r="J1445">
        <v>22451.39</v>
      </c>
      <c r="K1445" t="s">
        <v>899</v>
      </c>
      <c r="L1445" t="s">
        <v>220</v>
      </c>
      <c r="N1445" t="s">
        <v>197</v>
      </c>
    </row>
    <row r="1446" spans="1:14" x14ac:dyDescent="0.45">
      <c r="A1446">
        <v>1445</v>
      </c>
      <c r="B1446">
        <v>546</v>
      </c>
      <c r="C1446" t="s">
        <v>74</v>
      </c>
      <c r="D1446" t="s">
        <v>870</v>
      </c>
      <c r="E1446">
        <v>4020</v>
      </c>
      <c r="F1446" t="s">
        <v>103</v>
      </c>
      <c r="G1446" t="s">
        <v>99</v>
      </c>
      <c r="H1446" t="s">
        <v>218</v>
      </c>
      <c r="I1446">
        <v>0</v>
      </c>
      <c r="J1446">
        <v>17640.38</v>
      </c>
      <c r="K1446" t="s">
        <v>899</v>
      </c>
      <c r="L1446" t="s">
        <v>220</v>
      </c>
      <c r="N1446" t="s">
        <v>197</v>
      </c>
    </row>
    <row r="1447" spans="1:14" x14ac:dyDescent="0.45">
      <c r="A1447">
        <v>1446</v>
      </c>
      <c r="B1447">
        <v>546</v>
      </c>
      <c r="C1447" t="s">
        <v>74</v>
      </c>
      <c r="D1447" t="s">
        <v>870</v>
      </c>
      <c r="E1447">
        <v>4030</v>
      </c>
      <c r="F1447" t="s">
        <v>105</v>
      </c>
      <c r="G1447" t="s">
        <v>99</v>
      </c>
      <c r="H1447" t="s">
        <v>218</v>
      </c>
      <c r="I1447">
        <v>0</v>
      </c>
      <c r="J1447">
        <v>13363.93</v>
      </c>
      <c r="K1447" t="s">
        <v>899</v>
      </c>
      <c r="L1447" t="s">
        <v>220</v>
      </c>
      <c r="N1447" t="s">
        <v>197</v>
      </c>
    </row>
    <row r="1448" spans="1:14" x14ac:dyDescent="0.45">
      <c r="A1448">
        <v>1447</v>
      </c>
      <c r="B1448">
        <v>547</v>
      </c>
      <c r="C1448" t="s">
        <v>74</v>
      </c>
      <c r="D1448" t="s">
        <v>872</v>
      </c>
      <c r="E1448">
        <v>1000</v>
      </c>
      <c r="F1448" t="s">
        <v>77</v>
      </c>
      <c r="G1448" t="s">
        <v>78</v>
      </c>
      <c r="H1448" t="s">
        <v>218</v>
      </c>
      <c r="I1448">
        <v>49452.81</v>
      </c>
      <c r="J1448">
        <v>0</v>
      </c>
      <c r="K1448" t="s">
        <v>900</v>
      </c>
      <c r="L1448" t="s">
        <v>223</v>
      </c>
      <c r="N1448" t="s">
        <v>197</v>
      </c>
    </row>
    <row r="1449" spans="1:14" x14ac:dyDescent="0.45">
      <c r="A1449">
        <v>1448</v>
      </c>
      <c r="B1449">
        <v>547</v>
      </c>
      <c r="C1449" t="s">
        <v>74</v>
      </c>
      <c r="D1449" t="s">
        <v>872</v>
      </c>
      <c r="E1449">
        <v>1100</v>
      </c>
      <c r="F1449" t="s">
        <v>80</v>
      </c>
      <c r="G1449" t="s">
        <v>78</v>
      </c>
      <c r="H1449" t="s">
        <v>218</v>
      </c>
      <c r="I1449">
        <v>0</v>
      </c>
      <c r="J1449">
        <v>49452.81</v>
      </c>
      <c r="K1449" t="s">
        <v>900</v>
      </c>
      <c r="L1449" t="s">
        <v>223</v>
      </c>
      <c r="N1449" t="s">
        <v>197</v>
      </c>
    </row>
    <row r="1450" spans="1:14" x14ac:dyDescent="0.45">
      <c r="A1450">
        <v>1449</v>
      </c>
      <c r="B1450">
        <v>548</v>
      </c>
      <c r="C1450" t="s">
        <v>74</v>
      </c>
      <c r="D1450" t="s">
        <v>874</v>
      </c>
      <c r="E1450">
        <v>5010</v>
      </c>
      <c r="F1450" t="s">
        <v>112</v>
      </c>
      <c r="G1450" t="s">
        <v>110</v>
      </c>
      <c r="H1450" t="s">
        <v>218</v>
      </c>
      <c r="I1450">
        <v>3035.93</v>
      </c>
      <c r="J1450">
        <v>0</v>
      </c>
      <c r="K1450" t="s">
        <v>901</v>
      </c>
      <c r="L1450" t="s">
        <v>226</v>
      </c>
      <c r="N1450" t="s">
        <v>197</v>
      </c>
    </row>
    <row r="1451" spans="1:14" x14ac:dyDescent="0.45">
      <c r="A1451">
        <v>1450</v>
      </c>
      <c r="B1451">
        <v>548</v>
      </c>
      <c r="C1451" t="s">
        <v>74</v>
      </c>
      <c r="D1451" t="s">
        <v>874</v>
      </c>
      <c r="E1451">
        <v>5020</v>
      </c>
      <c r="F1451" t="s">
        <v>114</v>
      </c>
      <c r="G1451" t="s">
        <v>110</v>
      </c>
      <c r="H1451" t="s">
        <v>218</v>
      </c>
      <c r="I1451">
        <v>2483.9499999999998</v>
      </c>
      <c r="J1451">
        <v>0</v>
      </c>
      <c r="K1451" t="s">
        <v>901</v>
      </c>
      <c r="L1451" t="s">
        <v>226</v>
      </c>
      <c r="N1451" t="s">
        <v>197</v>
      </c>
    </row>
    <row r="1452" spans="1:14" x14ac:dyDescent="0.45">
      <c r="A1452">
        <v>1451</v>
      </c>
      <c r="B1452">
        <v>548</v>
      </c>
      <c r="C1452" t="s">
        <v>74</v>
      </c>
      <c r="D1452" t="s">
        <v>874</v>
      </c>
      <c r="E1452">
        <v>1000</v>
      </c>
      <c r="F1452" t="s">
        <v>77</v>
      </c>
      <c r="G1452" t="s">
        <v>78</v>
      </c>
      <c r="H1452" t="s">
        <v>218</v>
      </c>
      <c r="I1452">
        <v>0</v>
      </c>
      <c r="J1452">
        <v>3863.92</v>
      </c>
      <c r="K1452" t="s">
        <v>901</v>
      </c>
      <c r="L1452" t="s">
        <v>226</v>
      </c>
      <c r="N1452" t="s">
        <v>197</v>
      </c>
    </row>
    <row r="1453" spans="1:14" x14ac:dyDescent="0.45">
      <c r="A1453">
        <v>1452</v>
      </c>
      <c r="B1453">
        <v>548</v>
      </c>
      <c r="C1453" t="s">
        <v>74</v>
      </c>
      <c r="D1453" t="s">
        <v>874</v>
      </c>
      <c r="E1453">
        <v>2000</v>
      </c>
      <c r="F1453" t="s">
        <v>88</v>
      </c>
      <c r="G1453" t="s">
        <v>89</v>
      </c>
      <c r="H1453" t="s">
        <v>218</v>
      </c>
      <c r="I1453">
        <v>0</v>
      </c>
      <c r="J1453">
        <v>1655.96</v>
      </c>
      <c r="K1453" t="s">
        <v>901</v>
      </c>
      <c r="L1453" t="s">
        <v>226</v>
      </c>
      <c r="N1453" t="s">
        <v>197</v>
      </c>
    </row>
    <row r="1454" spans="1:14" x14ac:dyDescent="0.45">
      <c r="A1454">
        <v>1453</v>
      </c>
      <c r="B1454">
        <v>549</v>
      </c>
      <c r="C1454" t="s">
        <v>74</v>
      </c>
      <c r="D1454" t="s">
        <v>876</v>
      </c>
      <c r="E1454">
        <v>6010</v>
      </c>
      <c r="F1454" t="s">
        <v>119</v>
      </c>
      <c r="G1454" t="s">
        <v>117</v>
      </c>
      <c r="H1454" t="s">
        <v>218</v>
      </c>
      <c r="I1454">
        <v>26338.400000000001</v>
      </c>
      <c r="J1454">
        <v>0</v>
      </c>
      <c r="K1454" t="s">
        <v>902</v>
      </c>
      <c r="L1454" t="s">
        <v>229</v>
      </c>
      <c r="N1454" t="s">
        <v>197</v>
      </c>
    </row>
    <row r="1455" spans="1:14" x14ac:dyDescent="0.45">
      <c r="A1455">
        <v>1454</v>
      </c>
      <c r="B1455">
        <v>549</v>
      </c>
      <c r="C1455" t="s">
        <v>74</v>
      </c>
      <c r="D1455" t="s">
        <v>876</v>
      </c>
      <c r="E1455">
        <v>6020</v>
      </c>
      <c r="F1455" t="s">
        <v>121</v>
      </c>
      <c r="G1455" t="s">
        <v>117</v>
      </c>
      <c r="H1455" t="s">
        <v>218</v>
      </c>
      <c r="I1455">
        <v>3687.38</v>
      </c>
      <c r="J1455">
        <v>0</v>
      </c>
      <c r="K1455" t="s">
        <v>902</v>
      </c>
      <c r="L1455" t="s">
        <v>229</v>
      </c>
      <c r="N1455" t="s">
        <v>197</v>
      </c>
    </row>
    <row r="1456" spans="1:14" x14ac:dyDescent="0.45">
      <c r="A1456">
        <v>1455</v>
      </c>
      <c r="B1456">
        <v>549</v>
      </c>
      <c r="C1456" t="s">
        <v>74</v>
      </c>
      <c r="D1456" t="s">
        <v>876</v>
      </c>
      <c r="E1456">
        <v>1000</v>
      </c>
      <c r="F1456" t="s">
        <v>77</v>
      </c>
      <c r="G1456" t="s">
        <v>78</v>
      </c>
      <c r="H1456" t="s">
        <v>218</v>
      </c>
      <c r="I1456">
        <v>0</v>
      </c>
      <c r="J1456">
        <v>29994.93</v>
      </c>
      <c r="K1456" t="s">
        <v>902</v>
      </c>
      <c r="L1456" t="s">
        <v>229</v>
      </c>
      <c r="N1456" t="s">
        <v>197</v>
      </c>
    </row>
    <row r="1457" spans="1:14" x14ac:dyDescent="0.45">
      <c r="A1457">
        <v>1456</v>
      </c>
      <c r="B1457">
        <v>549</v>
      </c>
      <c r="C1457" t="s">
        <v>74</v>
      </c>
      <c r="D1457" t="s">
        <v>876</v>
      </c>
      <c r="E1457">
        <v>2100</v>
      </c>
      <c r="F1457" t="s">
        <v>91</v>
      </c>
      <c r="G1457" t="s">
        <v>89</v>
      </c>
      <c r="H1457" t="s">
        <v>218</v>
      </c>
      <c r="I1457">
        <v>0</v>
      </c>
      <c r="J1457">
        <v>3002.58</v>
      </c>
      <c r="K1457" t="s">
        <v>902</v>
      </c>
      <c r="L1457" t="s">
        <v>229</v>
      </c>
      <c r="N1457" t="s">
        <v>197</v>
      </c>
    </row>
    <row r="1458" spans="1:14" x14ac:dyDescent="0.45">
      <c r="A1458">
        <v>1457</v>
      </c>
      <c r="B1458">
        <v>549</v>
      </c>
      <c r="C1458" t="s">
        <v>74</v>
      </c>
      <c r="D1458" t="s">
        <v>876</v>
      </c>
      <c r="E1458">
        <v>2100</v>
      </c>
      <c r="F1458" t="s">
        <v>91</v>
      </c>
      <c r="G1458" t="s">
        <v>89</v>
      </c>
      <c r="H1458" t="s">
        <v>218</v>
      </c>
      <c r="I1458">
        <v>2971.73</v>
      </c>
      <c r="J1458">
        <v>0</v>
      </c>
      <c r="K1458" t="s">
        <v>902</v>
      </c>
      <c r="L1458" t="s">
        <v>229</v>
      </c>
      <c r="N1458" t="s">
        <v>197</v>
      </c>
    </row>
    <row r="1459" spans="1:14" x14ac:dyDescent="0.45">
      <c r="A1459">
        <v>1458</v>
      </c>
      <c r="B1459">
        <v>550</v>
      </c>
      <c r="C1459" t="s">
        <v>74</v>
      </c>
      <c r="D1459" t="s">
        <v>878</v>
      </c>
      <c r="E1459">
        <v>6030</v>
      </c>
      <c r="F1459" t="s">
        <v>123</v>
      </c>
      <c r="G1459" t="s">
        <v>117</v>
      </c>
      <c r="H1459" t="s">
        <v>218</v>
      </c>
      <c r="I1459">
        <v>4001.8</v>
      </c>
      <c r="J1459">
        <v>0</v>
      </c>
      <c r="K1459" t="s">
        <v>903</v>
      </c>
      <c r="L1459" t="s">
        <v>232</v>
      </c>
      <c r="N1459" t="s">
        <v>197</v>
      </c>
    </row>
    <row r="1460" spans="1:14" x14ac:dyDescent="0.45">
      <c r="A1460">
        <v>1459</v>
      </c>
      <c r="B1460">
        <v>550</v>
      </c>
      <c r="C1460" t="s">
        <v>74</v>
      </c>
      <c r="D1460" t="s">
        <v>878</v>
      </c>
      <c r="E1460">
        <v>1000</v>
      </c>
      <c r="F1460" t="s">
        <v>77</v>
      </c>
      <c r="G1460" t="s">
        <v>78</v>
      </c>
      <c r="H1460" t="s">
        <v>218</v>
      </c>
      <c r="I1460">
        <v>0</v>
      </c>
      <c r="J1460">
        <v>4001.8</v>
      </c>
      <c r="K1460" t="s">
        <v>903</v>
      </c>
      <c r="L1460" t="s">
        <v>232</v>
      </c>
      <c r="N1460" t="s">
        <v>197</v>
      </c>
    </row>
    <row r="1461" spans="1:14" x14ac:dyDescent="0.45">
      <c r="A1461">
        <v>1460</v>
      </c>
      <c r="B1461">
        <v>551</v>
      </c>
      <c r="C1461" t="s">
        <v>74</v>
      </c>
      <c r="D1461" t="s">
        <v>880</v>
      </c>
      <c r="E1461">
        <v>6040</v>
      </c>
      <c r="F1461" t="s">
        <v>125</v>
      </c>
      <c r="G1461" t="s">
        <v>117</v>
      </c>
      <c r="H1461" t="s">
        <v>218</v>
      </c>
      <c r="I1461">
        <v>1591.89</v>
      </c>
      <c r="J1461">
        <v>0</v>
      </c>
      <c r="K1461" t="s">
        <v>904</v>
      </c>
      <c r="L1461" t="s">
        <v>226</v>
      </c>
      <c r="N1461" t="s">
        <v>197</v>
      </c>
    </row>
    <row r="1462" spans="1:14" x14ac:dyDescent="0.45">
      <c r="A1462">
        <v>1461</v>
      </c>
      <c r="B1462">
        <v>551</v>
      </c>
      <c r="C1462" t="s">
        <v>74</v>
      </c>
      <c r="D1462" t="s">
        <v>880</v>
      </c>
      <c r="E1462">
        <v>1000</v>
      </c>
      <c r="F1462" t="s">
        <v>77</v>
      </c>
      <c r="G1462" t="s">
        <v>78</v>
      </c>
      <c r="H1462" t="s">
        <v>218</v>
      </c>
      <c r="I1462">
        <v>0</v>
      </c>
      <c r="J1462">
        <v>1273.51</v>
      </c>
      <c r="K1462" t="s">
        <v>904</v>
      </c>
      <c r="L1462" t="s">
        <v>226</v>
      </c>
      <c r="N1462" t="s">
        <v>197</v>
      </c>
    </row>
    <row r="1463" spans="1:14" x14ac:dyDescent="0.45">
      <c r="A1463">
        <v>1462</v>
      </c>
      <c r="B1463">
        <v>551</v>
      </c>
      <c r="C1463" t="s">
        <v>74</v>
      </c>
      <c r="D1463" t="s">
        <v>880</v>
      </c>
      <c r="E1463">
        <v>2000</v>
      </c>
      <c r="F1463" t="s">
        <v>88</v>
      </c>
      <c r="G1463" t="s">
        <v>89</v>
      </c>
      <c r="H1463" t="s">
        <v>218</v>
      </c>
      <c r="I1463">
        <v>0</v>
      </c>
      <c r="J1463">
        <v>318.38</v>
      </c>
      <c r="K1463" t="s">
        <v>904</v>
      </c>
      <c r="L1463" t="s">
        <v>226</v>
      </c>
      <c r="N1463" t="s">
        <v>197</v>
      </c>
    </row>
    <row r="1464" spans="1:14" x14ac:dyDescent="0.45">
      <c r="A1464">
        <v>1463</v>
      </c>
      <c r="B1464">
        <v>552</v>
      </c>
      <c r="C1464" t="s">
        <v>74</v>
      </c>
      <c r="D1464" t="s">
        <v>878</v>
      </c>
      <c r="E1464">
        <v>6050</v>
      </c>
      <c r="F1464" t="s">
        <v>127</v>
      </c>
      <c r="G1464" t="s">
        <v>117</v>
      </c>
      <c r="H1464" t="s">
        <v>218</v>
      </c>
      <c r="I1464">
        <v>797.5</v>
      </c>
      <c r="J1464">
        <v>0</v>
      </c>
      <c r="K1464" t="s">
        <v>905</v>
      </c>
      <c r="L1464" t="s">
        <v>236</v>
      </c>
      <c r="N1464" t="s">
        <v>197</v>
      </c>
    </row>
    <row r="1465" spans="1:14" x14ac:dyDescent="0.45">
      <c r="A1465">
        <v>1464</v>
      </c>
      <c r="B1465">
        <v>552</v>
      </c>
      <c r="C1465" t="s">
        <v>74</v>
      </c>
      <c r="D1465" t="s">
        <v>878</v>
      </c>
      <c r="E1465">
        <v>1200</v>
      </c>
      <c r="F1465" t="s">
        <v>82</v>
      </c>
      <c r="G1465" t="s">
        <v>78</v>
      </c>
      <c r="H1465" t="s">
        <v>218</v>
      </c>
      <c r="I1465">
        <v>0</v>
      </c>
      <c r="J1465">
        <v>797.5</v>
      </c>
      <c r="K1465" t="s">
        <v>905</v>
      </c>
      <c r="L1465" t="s">
        <v>236</v>
      </c>
      <c r="N1465" t="s">
        <v>197</v>
      </c>
    </row>
    <row r="1466" spans="1:14" x14ac:dyDescent="0.45">
      <c r="A1466">
        <v>1465</v>
      </c>
      <c r="B1466">
        <v>553</v>
      </c>
      <c r="C1466" t="s">
        <v>74</v>
      </c>
      <c r="D1466" t="s">
        <v>883</v>
      </c>
      <c r="E1466">
        <v>6060</v>
      </c>
      <c r="F1466" t="s">
        <v>129</v>
      </c>
      <c r="G1466" t="s">
        <v>117</v>
      </c>
      <c r="H1466" t="s">
        <v>218</v>
      </c>
      <c r="I1466">
        <v>1316.7</v>
      </c>
      <c r="J1466">
        <v>0</v>
      </c>
      <c r="K1466" t="s">
        <v>906</v>
      </c>
      <c r="L1466" t="s">
        <v>232</v>
      </c>
      <c r="N1466" t="s">
        <v>197</v>
      </c>
    </row>
    <row r="1467" spans="1:14" x14ac:dyDescent="0.45">
      <c r="A1467">
        <v>1466</v>
      </c>
      <c r="B1467">
        <v>553</v>
      </c>
      <c r="C1467" t="s">
        <v>74</v>
      </c>
      <c r="D1467" t="s">
        <v>883</v>
      </c>
      <c r="E1467">
        <v>1000</v>
      </c>
      <c r="F1467" t="s">
        <v>77</v>
      </c>
      <c r="G1467" t="s">
        <v>78</v>
      </c>
      <c r="H1467" t="s">
        <v>218</v>
      </c>
      <c r="I1467">
        <v>0</v>
      </c>
      <c r="J1467">
        <v>1316.7</v>
      </c>
      <c r="K1467" t="s">
        <v>906</v>
      </c>
      <c r="L1467" t="s">
        <v>232</v>
      </c>
      <c r="N1467" t="s">
        <v>197</v>
      </c>
    </row>
    <row r="1468" spans="1:14" x14ac:dyDescent="0.45">
      <c r="A1468">
        <v>1467</v>
      </c>
      <c r="B1468">
        <v>554</v>
      </c>
      <c r="C1468" t="s">
        <v>74</v>
      </c>
      <c r="D1468" t="s">
        <v>885</v>
      </c>
      <c r="E1468">
        <v>7000</v>
      </c>
      <c r="F1468" t="s">
        <v>133</v>
      </c>
      <c r="G1468" t="s">
        <v>117</v>
      </c>
      <c r="H1468" t="s">
        <v>218</v>
      </c>
      <c r="I1468">
        <v>605</v>
      </c>
      <c r="J1468">
        <v>0</v>
      </c>
      <c r="K1468" t="s">
        <v>907</v>
      </c>
      <c r="L1468" t="s">
        <v>241</v>
      </c>
      <c r="N1468" t="s">
        <v>197</v>
      </c>
    </row>
    <row r="1469" spans="1:14" x14ac:dyDescent="0.45">
      <c r="A1469">
        <v>1468</v>
      </c>
      <c r="B1469">
        <v>554</v>
      </c>
      <c r="C1469" t="s">
        <v>74</v>
      </c>
      <c r="D1469" t="s">
        <v>885</v>
      </c>
      <c r="E1469">
        <v>1500</v>
      </c>
      <c r="F1469" t="s">
        <v>86</v>
      </c>
      <c r="G1469" t="s">
        <v>78</v>
      </c>
      <c r="H1469" t="s">
        <v>218</v>
      </c>
      <c r="I1469">
        <v>0</v>
      </c>
      <c r="J1469">
        <v>605</v>
      </c>
      <c r="K1469" t="s">
        <v>907</v>
      </c>
      <c r="L1469" t="s">
        <v>241</v>
      </c>
      <c r="N1469" t="s">
        <v>197</v>
      </c>
    </row>
    <row r="1470" spans="1:14" x14ac:dyDescent="0.45">
      <c r="A1470">
        <v>1469</v>
      </c>
      <c r="B1470">
        <v>555</v>
      </c>
      <c r="C1470" t="s">
        <v>74</v>
      </c>
      <c r="D1470" t="s">
        <v>887</v>
      </c>
      <c r="E1470">
        <v>2000</v>
      </c>
      <c r="F1470" t="s">
        <v>88</v>
      </c>
      <c r="G1470" t="s">
        <v>89</v>
      </c>
      <c r="H1470" t="s">
        <v>218</v>
      </c>
      <c r="I1470">
        <v>2155.12</v>
      </c>
      <c r="J1470">
        <v>0</v>
      </c>
      <c r="K1470" t="s">
        <v>908</v>
      </c>
      <c r="L1470" t="s">
        <v>232</v>
      </c>
      <c r="N1470" t="s">
        <v>197</v>
      </c>
    </row>
    <row r="1471" spans="1:14" x14ac:dyDescent="0.45">
      <c r="A1471">
        <v>1470</v>
      </c>
      <c r="B1471">
        <v>555</v>
      </c>
      <c r="C1471" t="s">
        <v>74</v>
      </c>
      <c r="D1471" t="s">
        <v>887</v>
      </c>
      <c r="E1471">
        <v>1000</v>
      </c>
      <c r="F1471" t="s">
        <v>77</v>
      </c>
      <c r="G1471" t="s">
        <v>78</v>
      </c>
      <c r="H1471" t="s">
        <v>218</v>
      </c>
      <c r="I1471">
        <v>0</v>
      </c>
      <c r="J1471">
        <v>2155.12</v>
      </c>
      <c r="K1471" t="s">
        <v>908</v>
      </c>
      <c r="L1471" t="s">
        <v>232</v>
      </c>
      <c r="N1471" t="s">
        <v>197</v>
      </c>
    </row>
    <row r="1472" spans="1:14" x14ac:dyDescent="0.45">
      <c r="A1472">
        <v>1471</v>
      </c>
      <c r="B1472">
        <v>556</v>
      </c>
      <c r="C1472" t="s">
        <v>72</v>
      </c>
      <c r="D1472" t="s">
        <v>909</v>
      </c>
      <c r="E1472">
        <v>1300</v>
      </c>
      <c r="F1472" t="s">
        <v>84</v>
      </c>
      <c r="G1472" t="s">
        <v>78</v>
      </c>
      <c r="H1472" t="s">
        <v>261</v>
      </c>
      <c r="I1472">
        <v>3675.36</v>
      </c>
      <c r="J1472">
        <v>0</v>
      </c>
      <c r="K1472" t="s">
        <v>910</v>
      </c>
      <c r="L1472" t="s">
        <v>263</v>
      </c>
      <c r="M1472" t="s">
        <v>73</v>
      </c>
      <c r="N1472" t="s">
        <v>197</v>
      </c>
    </row>
    <row r="1473" spans="1:14" x14ac:dyDescent="0.45">
      <c r="A1473">
        <v>1472</v>
      </c>
      <c r="B1473">
        <v>556</v>
      </c>
      <c r="C1473" t="s">
        <v>72</v>
      </c>
      <c r="D1473" t="s">
        <v>909</v>
      </c>
      <c r="E1473">
        <v>4090</v>
      </c>
      <c r="F1473" t="s">
        <v>107</v>
      </c>
      <c r="G1473" t="s">
        <v>99</v>
      </c>
      <c r="H1473" t="s">
        <v>261</v>
      </c>
      <c r="I1473">
        <v>0</v>
      </c>
      <c r="J1473">
        <v>3675.36</v>
      </c>
      <c r="K1473" t="s">
        <v>910</v>
      </c>
      <c r="L1473" t="s">
        <v>263</v>
      </c>
      <c r="M1473" t="s">
        <v>73</v>
      </c>
      <c r="N1473" t="s">
        <v>197</v>
      </c>
    </row>
    <row r="1474" spans="1:14" x14ac:dyDescent="0.45">
      <c r="A1474">
        <v>1473</v>
      </c>
      <c r="B1474">
        <v>557</v>
      </c>
      <c r="C1474" t="s">
        <v>73</v>
      </c>
      <c r="D1474" t="s">
        <v>909</v>
      </c>
      <c r="E1474">
        <v>6070</v>
      </c>
      <c r="F1474" t="s">
        <v>131</v>
      </c>
      <c r="G1474" t="s">
        <v>117</v>
      </c>
      <c r="H1474" t="s">
        <v>261</v>
      </c>
      <c r="I1474">
        <v>3675.36</v>
      </c>
      <c r="J1474">
        <v>0</v>
      </c>
      <c r="K1474" t="s">
        <v>911</v>
      </c>
      <c r="L1474" t="s">
        <v>263</v>
      </c>
      <c r="M1474" t="s">
        <v>72</v>
      </c>
      <c r="N1474" t="s">
        <v>197</v>
      </c>
    </row>
    <row r="1475" spans="1:14" x14ac:dyDescent="0.45">
      <c r="A1475">
        <v>1474</v>
      </c>
      <c r="B1475">
        <v>557</v>
      </c>
      <c r="C1475" t="s">
        <v>73</v>
      </c>
      <c r="D1475" t="s">
        <v>909</v>
      </c>
      <c r="E1475">
        <v>2200</v>
      </c>
      <c r="F1475" t="s">
        <v>93</v>
      </c>
      <c r="G1475" t="s">
        <v>89</v>
      </c>
      <c r="H1475" t="s">
        <v>261</v>
      </c>
      <c r="I1475">
        <v>0</v>
      </c>
      <c r="J1475">
        <v>3675.36</v>
      </c>
      <c r="K1475" t="s">
        <v>911</v>
      </c>
      <c r="L1475" t="s">
        <v>263</v>
      </c>
      <c r="M1475" t="s">
        <v>72</v>
      </c>
      <c r="N1475" t="s">
        <v>197</v>
      </c>
    </row>
    <row r="1476" spans="1:14" x14ac:dyDescent="0.45">
      <c r="A1476">
        <v>1475</v>
      </c>
      <c r="B1476">
        <v>558</v>
      </c>
      <c r="C1476" t="s">
        <v>73</v>
      </c>
      <c r="D1476" t="s">
        <v>912</v>
      </c>
      <c r="E1476">
        <v>2200</v>
      </c>
      <c r="F1476" t="s">
        <v>93</v>
      </c>
      <c r="G1476" t="s">
        <v>89</v>
      </c>
      <c r="H1476" t="s">
        <v>261</v>
      </c>
      <c r="I1476">
        <v>3643.12</v>
      </c>
      <c r="J1476">
        <v>0</v>
      </c>
      <c r="K1476" t="s">
        <v>913</v>
      </c>
      <c r="L1476" t="s">
        <v>309</v>
      </c>
      <c r="M1476" t="s">
        <v>72</v>
      </c>
      <c r="N1476" t="s">
        <v>197</v>
      </c>
    </row>
    <row r="1477" spans="1:14" x14ac:dyDescent="0.45">
      <c r="A1477">
        <v>1476</v>
      </c>
      <c r="B1477">
        <v>558</v>
      </c>
      <c r="C1477" t="s">
        <v>73</v>
      </c>
      <c r="D1477" t="s">
        <v>912</v>
      </c>
      <c r="E1477">
        <v>1000</v>
      </c>
      <c r="F1477" t="s">
        <v>77</v>
      </c>
      <c r="G1477" t="s">
        <v>78</v>
      </c>
      <c r="H1477" t="s">
        <v>218</v>
      </c>
      <c r="I1477">
        <v>0</v>
      </c>
      <c r="J1477">
        <v>3643.12</v>
      </c>
      <c r="K1477" t="s">
        <v>913</v>
      </c>
      <c r="L1477" t="s">
        <v>309</v>
      </c>
      <c r="M1477" t="s">
        <v>72</v>
      </c>
      <c r="N1477" t="s">
        <v>197</v>
      </c>
    </row>
    <row r="1478" spans="1:14" x14ac:dyDescent="0.45">
      <c r="A1478">
        <v>1477</v>
      </c>
      <c r="B1478">
        <v>559</v>
      </c>
      <c r="C1478" t="s">
        <v>72</v>
      </c>
      <c r="D1478" t="s">
        <v>912</v>
      </c>
      <c r="E1478">
        <v>1000</v>
      </c>
      <c r="F1478" t="s">
        <v>77</v>
      </c>
      <c r="G1478" t="s">
        <v>78</v>
      </c>
      <c r="H1478" t="s">
        <v>218</v>
      </c>
      <c r="I1478">
        <v>3643.12</v>
      </c>
      <c r="J1478">
        <v>0</v>
      </c>
      <c r="K1478" t="s">
        <v>914</v>
      </c>
      <c r="L1478" t="s">
        <v>309</v>
      </c>
      <c r="M1478" t="s">
        <v>73</v>
      </c>
      <c r="N1478" t="s">
        <v>197</v>
      </c>
    </row>
    <row r="1479" spans="1:14" x14ac:dyDescent="0.45">
      <c r="A1479">
        <v>1478</v>
      </c>
      <c r="B1479">
        <v>559</v>
      </c>
      <c r="C1479" t="s">
        <v>72</v>
      </c>
      <c r="D1479" t="s">
        <v>912</v>
      </c>
      <c r="E1479">
        <v>1300</v>
      </c>
      <c r="F1479" t="s">
        <v>84</v>
      </c>
      <c r="G1479" t="s">
        <v>78</v>
      </c>
      <c r="H1479" t="s">
        <v>261</v>
      </c>
      <c r="I1479">
        <v>0</v>
      </c>
      <c r="J1479">
        <v>3643.12</v>
      </c>
      <c r="K1479" t="s">
        <v>914</v>
      </c>
      <c r="L1479" t="s">
        <v>309</v>
      </c>
      <c r="M1479" t="s">
        <v>73</v>
      </c>
      <c r="N1479" t="s">
        <v>197</v>
      </c>
    </row>
    <row r="1480" spans="1:14" x14ac:dyDescent="0.45">
      <c r="A1480">
        <v>1479</v>
      </c>
      <c r="B1480">
        <v>560</v>
      </c>
      <c r="C1480" t="s">
        <v>72</v>
      </c>
      <c r="D1480" t="s">
        <v>909</v>
      </c>
      <c r="E1480">
        <v>1300</v>
      </c>
      <c r="F1480" t="s">
        <v>84</v>
      </c>
      <c r="G1480" t="s">
        <v>78</v>
      </c>
      <c r="H1480" t="s">
        <v>261</v>
      </c>
      <c r="I1480">
        <v>3260.4</v>
      </c>
      <c r="J1480">
        <v>0</v>
      </c>
      <c r="K1480" t="s">
        <v>915</v>
      </c>
      <c r="L1480" t="s">
        <v>263</v>
      </c>
      <c r="M1480" t="s">
        <v>74</v>
      </c>
      <c r="N1480" t="s">
        <v>197</v>
      </c>
    </row>
    <row r="1481" spans="1:14" x14ac:dyDescent="0.45">
      <c r="A1481">
        <v>1480</v>
      </c>
      <c r="B1481">
        <v>560</v>
      </c>
      <c r="C1481" t="s">
        <v>72</v>
      </c>
      <c r="D1481" t="s">
        <v>909</v>
      </c>
      <c r="E1481">
        <v>4090</v>
      </c>
      <c r="F1481" t="s">
        <v>107</v>
      </c>
      <c r="G1481" t="s">
        <v>99</v>
      </c>
      <c r="H1481" t="s">
        <v>261</v>
      </c>
      <c r="I1481">
        <v>0</v>
      </c>
      <c r="J1481">
        <v>3260.4</v>
      </c>
      <c r="K1481" t="s">
        <v>915</v>
      </c>
      <c r="L1481" t="s">
        <v>263</v>
      </c>
      <c r="M1481" t="s">
        <v>74</v>
      </c>
      <c r="N1481" t="s">
        <v>197</v>
      </c>
    </row>
    <row r="1482" spans="1:14" x14ac:dyDescent="0.45">
      <c r="A1482">
        <v>1481</v>
      </c>
      <c r="B1482">
        <v>561</v>
      </c>
      <c r="C1482" t="s">
        <v>74</v>
      </c>
      <c r="D1482" t="s">
        <v>909</v>
      </c>
      <c r="E1482">
        <v>6070</v>
      </c>
      <c r="F1482" t="s">
        <v>131</v>
      </c>
      <c r="G1482" t="s">
        <v>117</v>
      </c>
      <c r="H1482" t="s">
        <v>261</v>
      </c>
      <c r="I1482">
        <v>3260.4</v>
      </c>
      <c r="J1482">
        <v>0</v>
      </c>
      <c r="K1482" t="s">
        <v>911</v>
      </c>
      <c r="L1482" t="s">
        <v>263</v>
      </c>
      <c r="M1482" t="s">
        <v>72</v>
      </c>
      <c r="N1482" t="s">
        <v>197</v>
      </c>
    </row>
    <row r="1483" spans="1:14" x14ac:dyDescent="0.45">
      <c r="A1483">
        <v>1482</v>
      </c>
      <c r="B1483">
        <v>561</v>
      </c>
      <c r="C1483" t="s">
        <v>74</v>
      </c>
      <c r="D1483" t="s">
        <v>909</v>
      </c>
      <c r="E1483">
        <v>2200</v>
      </c>
      <c r="F1483" t="s">
        <v>93</v>
      </c>
      <c r="G1483" t="s">
        <v>89</v>
      </c>
      <c r="H1483" t="s">
        <v>261</v>
      </c>
      <c r="I1483">
        <v>0</v>
      </c>
      <c r="J1483">
        <v>3260.4</v>
      </c>
      <c r="K1483" t="s">
        <v>911</v>
      </c>
      <c r="L1483" t="s">
        <v>263</v>
      </c>
      <c r="M1483" t="s">
        <v>72</v>
      </c>
      <c r="N1483" t="s">
        <v>197</v>
      </c>
    </row>
    <row r="1484" spans="1:14" x14ac:dyDescent="0.45">
      <c r="A1484">
        <v>1483</v>
      </c>
      <c r="B1484">
        <v>562</v>
      </c>
      <c r="C1484" t="s">
        <v>74</v>
      </c>
      <c r="D1484" t="s">
        <v>912</v>
      </c>
      <c r="E1484">
        <v>2200</v>
      </c>
      <c r="F1484" t="s">
        <v>93</v>
      </c>
      <c r="G1484" t="s">
        <v>89</v>
      </c>
      <c r="H1484" t="s">
        <v>261</v>
      </c>
      <c r="I1484">
        <v>3231.8</v>
      </c>
      <c r="J1484">
        <v>0</v>
      </c>
      <c r="K1484" t="s">
        <v>913</v>
      </c>
      <c r="L1484" t="s">
        <v>309</v>
      </c>
      <c r="M1484" t="s">
        <v>72</v>
      </c>
      <c r="N1484" t="s">
        <v>197</v>
      </c>
    </row>
    <row r="1485" spans="1:14" x14ac:dyDescent="0.45">
      <c r="A1485">
        <v>1484</v>
      </c>
      <c r="B1485">
        <v>562</v>
      </c>
      <c r="C1485" t="s">
        <v>74</v>
      </c>
      <c r="D1485" t="s">
        <v>912</v>
      </c>
      <c r="E1485">
        <v>1000</v>
      </c>
      <c r="F1485" t="s">
        <v>77</v>
      </c>
      <c r="G1485" t="s">
        <v>78</v>
      </c>
      <c r="H1485" t="s">
        <v>218</v>
      </c>
      <c r="I1485">
        <v>0</v>
      </c>
      <c r="J1485">
        <v>3231.8</v>
      </c>
      <c r="K1485" t="s">
        <v>913</v>
      </c>
      <c r="L1485" t="s">
        <v>309</v>
      </c>
      <c r="M1485" t="s">
        <v>72</v>
      </c>
      <c r="N1485" t="s">
        <v>197</v>
      </c>
    </row>
    <row r="1486" spans="1:14" x14ac:dyDescent="0.45">
      <c r="A1486">
        <v>1485</v>
      </c>
      <c r="B1486">
        <v>563</v>
      </c>
      <c r="C1486" t="s">
        <v>72</v>
      </c>
      <c r="D1486" t="s">
        <v>912</v>
      </c>
      <c r="E1486">
        <v>1000</v>
      </c>
      <c r="F1486" t="s">
        <v>77</v>
      </c>
      <c r="G1486" t="s">
        <v>78</v>
      </c>
      <c r="H1486" t="s">
        <v>218</v>
      </c>
      <c r="I1486">
        <v>3231.8</v>
      </c>
      <c r="J1486">
        <v>0</v>
      </c>
      <c r="K1486" t="s">
        <v>916</v>
      </c>
      <c r="L1486" t="s">
        <v>309</v>
      </c>
      <c r="M1486" t="s">
        <v>74</v>
      </c>
      <c r="N1486" t="s">
        <v>197</v>
      </c>
    </row>
    <row r="1487" spans="1:14" x14ac:dyDescent="0.45">
      <c r="A1487">
        <v>1486</v>
      </c>
      <c r="B1487">
        <v>563</v>
      </c>
      <c r="C1487" t="s">
        <v>72</v>
      </c>
      <c r="D1487" t="s">
        <v>912</v>
      </c>
      <c r="E1487">
        <v>1300</v>
      </c>
      <c r="F1487" t="s">
        <v>84</v>
      </c>
      <c r="G1487" t="s">
        <v>78</v>
      </c>
      <c r="H1487" t="s">
        <v>261</v>
      </c>
      <c r="I1487">
        <v>0</v>
      </c>
      <c r="J1487">
        <v>3231.8</v>
      </c>
      <c r="K1487" t="s">
        <v>916</v>
      </c>
      <c r="L1487" t="s">
        <v>309</v>
      </c>
      <c r="M1487" t="s">
        <v>74</v>
      </c>
      <c r="N1487" t="s">
        <v>197</v>
      </c>
    </row>
    <row r="1488" spans="1:14" x14ac:dyDescent="0.45">
      <c r="A1488">
        <v>1487</v>
      </c>
      <c r="B1488">
        <v>564</v>
      </c>
      <c r="C1488" t="s">
        <v>72</v>
      </c>
      <c r="D1488" t="s">
        <v>917</v>
      </c>
      <c r="E1488">
        <v>1100</v>
      </c>
      <c r="F1488" t="s">
        <v>80</v>
      </c>
      <c r="G1488" t="s">
        <v>78</v>
      </c>
      <c r="H1488" t="s">
        <v>218</v>
      </c>
      <c r="I1488">
        <v>117271.53</v>
      </c>
      <c r="J1488">
        <v>0</v>
      </c>
      <c r="K1488" t="s">
        <v>918</v>
      </c>
      <c r="L1488" t="s">
        <v>220</v>
      </c>
      <c r="N1488" t="s">
        <v>198</v>
      </c>
    </row>
    <row r="1489" spans="1:14" x14ac:dyDescent="0.45">
      <c r="A1489">
        <v>1488</v>
      </c>
      <c r="B1489">
        <v>564</v>
      </c>
      <c r="C1489" t="s">
        <v>72</v>
      </c>
      <c r="D1489" t="s">
        <v>917</v>
      </c>
      <c r="E1489">
        <v>4010</v>
      </c>
      <c r="F1489" t="s">
        <v>101</v>
      </c>
      <c r="G1489" t="s">
        <v>99</v>
      </c>
      <c r="H1489" t="s">
        <v>218</v>
      </c>
      <c r="I1489">
        <v>0</v>
      </c>
      <c r="J1489">
        <v>49254.04</v>
      </c>
      <c r="K1489" t="s">
        <v>918</v>
      </c>
      <c r="L1489" t="s">
        <v>220</v>
      </c>
      <c r="N1489" t="s">
        <v>198</v>
      </c>
    </row>
    <row r="1490" spans="1:14" x14ac:dyDescent="0.45">
      <c r="A1490">
        <v>1489</v>
      </c>
      <c r="B1490">
        <v>564</v>
      </c>
      <c r="C1490" t="s">
        <v>72</v>
      </c>
      <c r="D1490" t="s">
        <v>917</v>
      </c>
      <c r="E1490">
        <v>4020</v>
      </c>
      <c r="F1490" t="s">
        <v>103</v>
      </c>
      <c r="G1490" t="s">
        <v>99</v>
      </c>
      <c r="H1490" t="s">
        <v>218</v>
      </c>
      <c r="I1490">
        <v>0</v>
      </c>
      <c r="J1490">
        <v>38699.599999999999</v>
      </c>
      <c r="K1490" t="s">
        <v>918</v>
      </c>
      <c r="L1490" t="s">
        <v>220</v>
      </c>
      <c r="N1490" t="s">
        <v>198</v>
      </c>
    </row>
    <row r="1491" spans="1:14" x14ac:dyDescent="0.45">
      <c r="A1491">
        <v>1490</v>
      </c>
      <c r="B1491">
        <v>564</v>
      </c>
      <c r="C1491" t="s">
        <v>72</v>
      </c>
      <c r="D1491" t="s">
        <v>917</v>
      </c>
      <c r="E1491">
        <v>4030</v>
      </c>
      <c r="F1491" t="s">
        <v>105</v>
      </c>
      <c r="G1491" t="s">
        <v>99</v>
      </c>
      <c r="H1491" t="s">
        <v>218</v>
      </c>
      <c r="I1491">
        <v>0</v>
      </c>
      <c r="J1491">
        <v>29317.89</v>
      </c>
      <c r="K1491" t="s">
        <v>918</v>
      </c>
      <c r="L1491" t="s">
        <v>220</v>
      </c>
      <c r="N1491" t="s">
        <v>198</v>
      </c>
    </row>
    <row r="1492" spans="1:14" x14ac:dyDescent="0.45">
      <c r="A1492">
        <v>1491</v>
      </c>
      <c r="B1492">
        <v>565</v>
      </c>
      <c r="C1492" t="s">
        <v>72</v>
      </c>
      <c r="D1492" t="s">
        <v>919</v>
      </c>
      <c r="E1492">
        <v>1000</v>
      </c>
      <c r="F1492" t="s">
        <v>77</v>
      </c>
      <c r="G1492" t="s">
        <v>78</v>
      </c>
      <c r="H1492" t="s">
        <v>218</v>
      </c>
      <c r="I1492">
        <v>106125.64</v>
      </c>
      <c r="J1492">
        <v>0</v>
      </c>
      <c r="K1492" t="s">
        <v>920</v>
      </c>
      <c r="L1492" t="s">
        <v>223</v>
      </c>
      <c r="N1492" t="s">
        <v>198</v>
      </c>
    </row>
    <row r="1493" spans="1:14" x14ac:dyDescent="0.45">
      <c r="A1493">
        <v>1492</v>
      </c>
      <c r="B1493">
        <v>565</v>
      </c>
      <c r="C1493" t="s">
        <v>72</v>
      </c>
      <c r="D1493" t="s">
        <v>919</v>
      </c>
      <c r="E1493">
        <v>1100</v>
      </c>
      <c r="F1493" t="s">
        <v>80</v>
      </c>
      <c r="G1493" t="s">
        <v>78</v>
      </c>
      <c r="H1493" t="s">
        <v>218</v>
      </c>
      <c r="I1493">
        <v>0</v>
      </c>
      <c r="J1493">
        <v>106125.64</v>
      </c>
      <c r="K1493" t="s">
        <v>920</v>
      </c>
      <c r="L1493" t="s">
        <v>223</v>
      </c>
      <c r="N1493" t="s">
        <v>198</v>
      </c>
    </row>
    <row r="1494" spans="1:14" x14ac:dyDescent="0.45">
      <c r="A1494">
        <v>1493</v>
      </c>
      <c r="B1494">
        <v>566</v>
      </c>
      <c r="C1494" t="s">
        <v>72</v>
      </c>
      <c r="D1494" t="s">
        <v>921</v>
      </c>
      <c r="E1494">
        <v>5010</v>
      </c>
      <c r="F1494" t="s">
        <v>112</v>
      </c>
      <c r="G1494" t="s">
        <v>110</v>
      </c>
      <c r="H1494" t="s">
        <v>218</v>
      </c>
      <c r="I1494">
        <v>6660.26</v>
      </c>
      <c r="J1494">
        <v>0</v>
      </c>
      <c r="K1494" t="s">
        <v>922</v>
      </c>
      <c r="L1494" t="s">
        <v>226</v>
      </c>
      <c r="N1494" t="s">
        <v>198</v>
      </c>
    </row>
    <row r="1495" spans="1:14" x14ac:dyDescent="0.45">
      <c r="A1495">
        <v>1494</v>
      </c>
      <c r="B1495">
        <v>566</v>
      </c>
      <c r="C1495" t="s">
        <v>72</v>
      </c>
      <c r="D1495" t="s">
        <v>921</v>
      </c>
      <c r="E1495">
        <v>5020</v>
      </c>
      <c r="F1495" t="s">
        <v>114</v>
      </c>
      <c r="G1495" t="s">
        <v>110</v>
      </c>
      <c r="H1495" t="s">
        <v>218</v>
      </c>
      <c r="I1495">
        <v>5449.3</v>
      </c>
      <c r="J1495">
        <v>0</v>
      </c>
      <c r="K1495" t="s">
        <v>922</v>
      </c>
      <c r="L1495" t="s">
        <v>226</v>
      </c>
      <c r="N1495" t="s">
        <v>198</v>
      </c>
    </row>
    <row r="1496" spans="1:14" x14ac:dyDescent="0.45">
      <c r="A1496">
        <v>1495</v>
      </c>
      <c r="B1496">
        <v>566</v>
      </c>
      <c r="C1496" t="s">
        <v>72</v>
      </c>
      <c r="D1496" t="s">
        <v>921</v>
      </c>
      <c r="E1496">
        <v>1000</v>
      </c>
      <c r="F1496" t="s">
        <v>77</v>
      </c>
      <c r="G1496" t="s">
        <v>78</v>
      </c>
      <c r="H1496" t="s">
        <v>218</v>
      </c>
      <c r="I1496">
        <v>0</v>
      </c>
      <c r="J1496">
        <v>8476.69</v>
      </c>
      <c r="K1496" t="s">
        <v>922</v>
      </c>
      <c r="L1496" t="s">
        <v>226</v>
      </c>
      <c r="N1496" t="s">
        <v>198</v>
      </c>
    </row>
    <row r="1497" spans="1:14" x14ac:dyDescent="0.45">
      <c r="A1497">
        <v>1496</v>
      </c>
      <c r="B1497">
        <v>566</v>
      </c>
      <c r="C1497" t="s">
        <v>72</v>
      </c>
      <c r="D1497" t="s">
        <v>921</v>
      </c>
      <c r="E1497">
        <v>2000</v>
      </c>
      <c r="F1497" t="s">
        <v>88</v>
      </c>
      <c r="G1497" t="s">
        <v>89</v>
      </c>
      <c r="H1497" t="s">
        <v>218</v>
      </c>
      <c r="I1497">
        <v>0</v>
      </c>
      <c r="J1497">
        <v>3632.87</v>
      </c>
      <c r="K1497" t="s">
        <v>922</v>
      </c>
      <c r="L1497" t="s">
        <v>226</v>
      </c>
      <c r="N1497" t="s">
        <v>198</v>
      </c>
    </row>
    <row r="1498" spans="1:14" x14ac:dyDescent="0.45">
      <c r="A1498">
        <v>1497</v>
      </c>
      <c r="B1498">
        <v>567</v>
      </c>
      <c r="C1498" t="s">
        <v>72</v>
      </c>
      <c r="D1498" t="s">
        <v>923</v>
      </c>
      <c r="E1498">
        <v>6010</v>
      </c>
      <c r="F1498" t="s">
        <v>119</v>
      </c>
      <c r="G1498" t="s">
        <v>117</v>
      </c>
      <c r="H1498" t="s">
        <v>218</v>
      </c>
      <c r="I1498">
        <v>48380</v>
      </c>
      <c r="J1498">
        <v>0</v>
      </c>
      <c r="K1498" t="s">
        <v>924</v>
      </c>
      <c r="L1498" t="s">
        <v>229</v>
      </c>
      <c r="N1498" t="s">
        <v>198</v>
      </c>
    </row>
    <row r="1499" spans="1:14" x14ac:dyDescent="0.45">
      <c r="A1499">
        <v>1498</v>
      </c>
      <c r="B1499">
        <v>567</v>
      </c>
      <c r="C1499" t="s">
        <v>72</v>
      </c>
      <c r="D1499" t="s">
        <v>923</v>
      </c>
      <c r="E1499">
        <v>6020</v>
      </c>
      <c r="F1499" t="s">
        <v>121</v>
      </c>
      <c r="G1499" t="s">
        <v>117</v>
      </c>
      <c r="H1499" t="s">
        <v>218</v>
      </c>
      <c r="I1499">
        <v>6773.2</v>
      </c>
      <c r="J1499">
        <v>0</v>
      </c>
      <c r="K1499" t="s">
        <v>924</v>
      </c>
      <c r="L1499" t="s">
        <v>229</v>
      </c>
      <c r="N1499" t="s">
        <v>198</v>
      </c>
    </row>
    <row r="1500" spans="1:14" x14ac:dyDescent="0.45">
      <c r="A1500">
        <v>1499</v>
      </c>
      <c r="B1500">
        <v>567</v>
      </c>
      <c r="C1500" t="s">
        <v>72</v>
      </c>
      <c r="D1500" t="s">
        <v>923</v>
      </c>
      <c r="E1500">
        <v>1000</v>
      </c>
      <c r="F1500" t="s">
        <v>77</v>
      </c>
      <c r="G1500" t="s">
        <v>78</v>
      </c>
      <c r="H1500" t="s">
        <v>218</v>
      </c>
      <c r="I1500">
        <v>0</v>
      </c>
      <c r="J1500">
        <v>55097.11</v>
      </c>
      <c r="K1500" t="s">
        <v>924</v>
      </c>
      <c r="L1500" t="s">
        <v>229</v>
      </c>
      <c r="N1500" t="s">
        <v>198</v>
      </c>
    </row>
    <row r="1501" spans="1:14" x14ac:dyDescent="0.45">
      <c r="A1501">
        <v>1500</v>
      </c>
      <c r="B1501">
        <v>567</v>
      </c>
      <c r="C1501" t="s">
        <v>72</v>
      </c>
      <c r="D1501" t="s">
        <v>923</v>
      </c>
      <c r="E1501">
        <v>2100</v>
      </c>
      <c r="F1501" t="s">
        <v>91</v>
      </c>
      <c r="G1501" t="s">
        <v>89</v>
      </c>
      <c r="H1501" t="s">
        <v>218</v>
      </c>
      <c r="I1501">
        <v>0</v>
      </c>
      <c r="J1501">
        <v>5515.32</v>
      </c>
      <c r="K1501" t="s">
        <v>924</v>
      </c>
      <c r="L1501" t="s">
        <v>229</v>
      </c>
      <c r="N1501" t="s">
        <v>198</v>
      </c>
    </row>
    <row r="1502" spans="1:14" x14ac:dyDescent="0.45">
      <c r="A1502">
        <v>1501</v>
      </c>
      <c r="B1502">
        <v>567</v>
      </c>
      <c r="C1502" t="s">
        <v>72</v>
      </c>
      <c r="D1502" t="s">
        <v>923</v>
      </c>
      <c r="E1502">
        <v>2100</v>
      </c>
      <c r="F1502" t="s">
        <v>91</v>
      </c>
      <c r="G1502" t="s">
        <v>89</v>
      </c>
      <c r="H1502" t="s">
        <v>218</v>
      </c>
      <c r="I1502">
        <v>5459.23</v>
      </c>
      <c r="J1502">
        <v>0</v>
      </c>
      <c r="K1502" t="s">
        <v>924</v>
      </c>
      <c r="L1502" t="s">
        <v>229</v>
      </c>
      <c r="N1502" t="s">
        <v>198</v>
      </c>
    </row>
    <row r="1503" spans="1:14" x14ac:dyDescent="0.45">
      <c r="A1503">
        <v>1502</v>
      </c>
      <c r="B1503">
        <v>568</v>
      </c>
      <c r="C1503" t="s">
        <v>72</v>
      </c>
      <c r="D1503" t="s">
        <v>925</v>
      </c>
      <c r="E1503">
        <v>6030</v>
      </c>
      <c r="F1503" t="s">
        <v>123</v>
      </c>
      <c r="G1503" t="s">
        <v>117</v>
      </c>
      <c r="H1503" t="s">
        <v>218</v>
      </c>
      <c r="I1503">
        <v>7310</v>
      </c>
      <c r="J1503">
        <v>0</v>
      </c>
      <c r="K1503" t="s">
        <v>926</v>
      </c>
      <c r="L1503" t="s">
        <v>232</v>
      </c>
      <c r="N1503" t="s">
        <v>198</v>
      </c>
    </row>
    <row r="1504" spans="1:14" x14ac:dyDescent="0.45">
      <c r="A1504">
        <v>1503</v>
      </c>
      <c r="B1504">
        <v>568</v>
      </c>
      <c r="C1504" t="s">
        <v>72</v>
      </c>
      <c r="D1504" t="s">
        <v>925</v>
      </c>
      <c r="E1504">
        <v>1000</v>
      </c>
      <c r="F1504" t="s">
        <v>77</v>
      </c>
      <c r="G1504" t="s">
        <v>78</v>
      </c>
      <c r="H1504" t="s">
        <v>218</v>
      </c>
      <c r="I1504">
        <v>0</v>
      </c>
      <c r="J1504">
        <v>7310</v>
      </c>
      <c r="K1504" t="s">
        <v>926</v>
      </c>
      <c r="L1504" t="s">
        <v>232</v>
      </c>
      <c r="N1504" t="s">
        <v>198</v>
      </c>
    </row>
    <row r="1505" spans="1:14" x14ac:dyDescent="0.45">
      <c r="A1505">
        <v>1504</v>
      </c>
      <c r="B1505">
        <v>569</v>
      </c>
      <c r="C1505" t="s">
        <v>72</v>
      </c>
      <c r="D1505" t="s">
        <v>927</v>
      </c>
      <c r="E1505">
        <v>6040</v>
      </c>
      <c r="F1505" t="s">
        <v>125</v>
      </c>
      <c r="G1505" t="s">
        <v>117</v>
      </c>
      <c r="H1505" t="s">
        <v>218</v>
      </c>
      <c r="I1505">
        <v>3456.79</v>
      </c>
      <c r="J1505">
        <v>0</v>
      </c>
      <c r="K1505" t="s">
        <v>928</v>
      </c>
      <c r="L1505" t="s">
        <v>226</v>
      </c>
      <c r="N1505" t="s">
        <v>198</v>
      </c>
    </row>
    <row r="1506" spans="1:14" x14ac:dyDescent="0.45">
      <c r="A1506">
        <v>1505</v>
      </c>
      <c r="B1506">
        <v>569</v>
      </c>
      <c r="C1506" t="s">
        <v>72</v>
      </c>
      <c r="D1506" t="s">
        <v>927</v>
      </c>
      <c r="E1506">
        <v>1000</v>
      </c>
      <c r="F1506" t="s">
        <v>77</v>
      </c>
      <c r="G1506" t="s">
        <v>78</v>
      </c>
      <c r="H1506" t="s">
        <v>218</v>
      </c>
      <c r="I1506">
        <v>0</v>
      </c>
      <c r="J1506">
        <v>2765.43</v>
      </c>
      <c r="K1506" t="s">
        <v>928</v>
      </c>
      <c r="L1506" t="s">
        <v>226</v>
      </c>
      <c r="N1506" t="s">
        <v>198</v>
      </c>
    </row>
    <row r="1507" spans="1:14" x14ac:dyDescent="0.45">
      <c r="A1507">
        <v>1506</v>
      </c>
      <c r="B1507">
        <v>569</v>
      </c>
      <c r="C1507" t="s">
        <v>72</v>
      </c>
      <c r="D1507" t="s">
        <v>927</v>
      </c>
      <c r="E1507">
        <v>2000</v>
      </c>
      <c r="F1507" t="s">
        <v>88</v>
      </c>
      <c r="G1507" t="s">
        <v>89</v>
      </c>
      <c r="H1507" t="s">
        <v>218</v>
      </c>
      <c r="I1507">
        <v>0</v>
      </c>
      <c r="J1507">
        <v>691.36</v>
      </c>
      <c r="K1507" t="s">
        <v>928</v>
      </c>
      <c r="L1507" t="s">
        <v>226</v>
      </c>
      <c r="N1507" t="s">
        <v>198</v>
      </c>
    </row>
    <row r="1508" spans="1:14" x14ac:dyDescent="0.45">
      <c r="A1508">
        <v>1507</v>
      </c>
      <c r="B1508">
        <v>570</v>
      </c>
      <c r="C1508" t="s">
        <v>72</v>
      </c>
      <c r="D1508" t="s">
        <v>925</v>
      </c>
      <c r="E1508">
        <v>6050</v>
      </c>
      <c r="F1508" t="s">
        <v>127</v>
      </c>
      <c r="G1508" t="s">
        <v>117</v>
      </c>
      <c r="H1508" t="s">
        <v>218</v>
      </c>
      <c r="I1508">
        <v>1450</v>
      </c>
      <c r="J1508">
        <v>0</v>
      </c>
      <c r="K1508" t="s">
        <v>929</v>
      </c>
      <c r="L1508" t="s">
        <v>236</v>
      </c>
      <c r="N1508" t="s">
        <v>198</v>
      </c>
    </row>
    <row r="1509" spans="1:14" x14ac:dyDescent="0.45">
      <c r="A1509">
        <v>1508</v>
      </c>
      <c r="B1509">
        <v>570</v>
      </c>
      <c r="C1509" t="s">
        <v>72</v>
      </c>
      <c r="D1509" t="s">
        <v>925</v>
      </c>
      <c r="E1509">
        <v>1200</v>
      </c>
      <c r="F1509" t="s">
        <v>82</v>
      </c>
      <c r="G1509" t="s">
        <v>78</v>
      </c>
      <c r="H1509" t="s">
        <v>218</v>
      </c>
      <c r="I1509">
        <v>0</v>
      </c>
      <c r="J1509">
        <v>1450</v>
      </c>
      <c r="K1509" t="s">
        <v>929</v>
      </c>
      <c r="L1509" t="s">
        <v>236</v>
      </c>
      <c r="N1509" t="s">
        <v>198</v>
      </c>
    </row>
    <row r="1510" spans="1:14" x14ac:dyDescent="0.45">
      <c r="A1510">
        <v>1509</v>
      </c>
      <c r="B1510">
        <v>571</v>
      </c>
      <c r="C1510" t="s">
        <v>72</v>
      </c>
      <c r="D1510" t="s">
        <v>930</v>
      </c>
      <c r="E1510">
        <v>6060</v>
      </c>
      <c r="F1510" t="s">
        <v>129</v>
      </c>
      <c r="G1510" t="s">
        <v>117</v>
      </c>
      <c r="H1510" t="s">
        <v>218</v>
      </c>
      <c r="I1510">
        <v>2415</v>
      </c>
      <c r="J1510">
        <v>0</v>
      </c>
      <c r="K1510" t="s">
        <v>931</v>
      </c>
      <c r="L1510" t="s">
        <v>232</v>
      </c>
      <c r="N1510" t="s">
        <v>198</v>
      </c>
    </row>
    <row r="1511" spans="1:14" x14ac:dyDescent="0.45">
      <c r="A1511">
        <v>1510</v>
      </c>
      <c r="B1511">
        <v>571</v>
      </c>
      <c r="C1511" t="s">
        <v>72</v>
      </c>
      <c r="D1511" t="s">
        <v>930</v>
      </c>
      <c r="E1511">
        <v>1000</v>
      </c>
      <c r="F1511" t="s">
        <v>77</v>
      </c>
      <c r="G1511" t="s">
        <v>78</v>
      </c>
      <c r="H1511" t="s">
        <v>218</v>
      </c>
      <c r="I1511">
        <v>0</v>
      </c>
      <c r="J1511">
        <v>2415</v>
      </c>
      <c r="K1511" t="s">
        <v>931</v>
      </c>
      <c r="L1511" t="s">
        <v>232</v>
      </c>
      <c r="N1511" t="s">
        <v>198</v>
      </c>
    </row>
    <row r="1512" spans="1:14" x14ac:dyDescent="0.45">
      <c r="A1512">
        <v>1511</v>
      </c>
      <c r="B1512">
        <v>572</v>
      </c>
      <c r="C1512" t="s">
        <v>72</v>
      </c>
      <c r="D1512" t="s">
        <v>932</v>
      </c>
      <c r="E1512">
        <v>7000</v>
      </c>
      <c r="F1512" t="s">
        <v>133</v>
      </c>
      <c r="G1512" t="s">
        <v>117</v>
      </c>
      <c r="H1512" t="s">
        <v>218</v>
      </c>
      <c r="I1512">
        <v>1100</v>
      </c>
      <c r="J1512">
        <v>0</v>
      </c>
      <c r="K1512" t="s">
        <v>933</v>
      </c>
      <c r="L1512" t="s">
        <v>241</v>
      </c>
      <c r="N1512" t="s">
        <v>198</v>
      </c>
    </row>
    <row r="1513" spans="1:14" x14ac:dyDescent="0.45">
      <c r="A1513">
        <v>1512</v>
      </c>
      <c r="B1513">
        <v>572</v>
      </c>
      <c r="C1513" t="s">
        <v>72</v>
      </c>
      <c r="D1513" t="s">
        <v>932</v>
      </c>
      <c r="E1513">
        <v>1500</v>
      </c>
      <c r="F1513" t="s">
        <v>86</v>
      </c>
      <c r="G1513" t="s">
        <v>78</v>
      </c>
      <c r="H1513" t="s">
        <v>218</v>
      </c>
      <c r="I1513">
        <v>0</v>
      </c>
      <c r="J1513">
        <v>1100</v>
      </c>
      <c r="K1513" t="s">
        <v>933</v>
      </c>
      <c r="L1513" t="s">
        <v>241</v>
      </c>
      <c r="N1513" t="s">
        <v>198</v>
      </c>
    </row>
    <row r="1514" spans="1:14" x14ac:dyDescent="0.45">
      <c r="A1514">
        <v>1513</v>
      </c>
      <c r="B1514">
        <v>573</v>
      </c>
      <c r="C1514" t="s">
        <v>72</v>
      </c>
      <c r="D1514" t="s">
        <v>934</v>
      </c>
      <c r="E1514">
        <v>2000</v>
      </c>
      <c r="F1514" t="s">
        <v>88</v>
      </c>
      <c r="G1514" t="s">
        <v>89</v>
      </c>
      <c r="H1514" t="s">
        <v>218</v>
      </c>
      <c r="I1514">
        <v>3595.59</v>
      </c>
      <c r="J1514">
        <v>0</v>
      </c>
      <c r="K1514" t="s">
        <v>935</v>
      </c>
      <c r="L1514" t="s">
        <v>232</v>
      </c>
      <c r="N1514" t="s">
        <v>198</v>
      </c>
    </row>
    <row r="1515" spans="1:14" x14ac:dyDescent="0.45">
      <c r="A1515">
        <v>1514</v>
      </c>
      <c r="B1515">
        <v>573</v>
      </c>
      <c r="C1515" t="s">
        <v>72</v>
      </c>
      <c r="D1515" t="s">
        <v>934</v>
      </c>
      <c r="E1515">
        <v>1000</v>
      </c>
      <c r="F1515" t="s">
        <v>77</v>
      </c>
      <c r="G1515" t="s">
        <v>78</v>
      </c>
      <c r="H1515" t="s">
        <v>218</v>
      </c>
      <c r="I1515">
        <v>0</v>
      </c>
      <c r="J1515">
        <v>3595.59</v>
      </c>
      <c r="K1515" t="s">
        <v>935</v>
      </c>
      <c r="L1515" t="s">
        <v>232</v>
      </c>
      <c r="N1515" t="s">
        <v>198</v>
      </c>
    </row>
    <row r="1516" spans="1:14" x14ac:dyDescent="0.45">
      <c r="A1516">
        <v>1515</v>
      </c>
      <c r="B1516">
        <v>574</v>
      </c>
      <c r="C1516" t="s">
        <v>73</v>
      </c>
      <c r="D1516" t="s">
        <v>917</v>
      </c>
      <c r="E1516">
        <v>1100</v>
      </c>
      <c r="F1516" t="s">
        <v>80</v>
      </c>
      <c r="G1516" t="s">
        <v>78</v>
      </c>
      <c r="H1516" t="s">
        <v>218</v>
      </c>
      <c r="I1516">
        <v>62085.39</v>
      </c>
      <c r="J1516">
        <v>0</v>
      </c>
      <c r="K1516" t="s">
        <v>936</v>
      </c>
      <c r="L1516" t="s">
        <v>220</v>
      </c>
      <c r="N1516" t="s">
        <v>198</v>
      </c>
    </row>
    <row r="1517" spans="1:14" x14ac:dyDescent="0.45">
      <c r="A1517">
        <v>1516</v>
      </c>
      <c r="B1517">
        <v>574</v>
      </c>
      <c r="C1517" t="s">
        <v>73</v>
      </c>
      <c r="D1517" t="s">
        <v>917</v>
      </c>
      <c r="E1517">
        <v>4010</v>
      </c>
      <c r="F1517" t="s">
        <v>101</v>
      </c>
      <c r="G1517" t="s">
        <v>99</v>
      </c>
      <c r="H1517" t="s">
        <v>218</v>
      </c>
      <c r="I1517">
        <v>0</v>
      </c>
      <c r="J1517">
        <v>26075.86</v>
      </c>
      <c r="K1517" t="s">
        <v>936</v>
      </c>
      <c r="L1517" t="s">
        <v>220</v>
      </c>
      <c r="N1517" t="s">
        <v>198</v>
      </c>
    </row>
    <row r="1518" spans="1:14" x14ac:dyDescent="0.45">
      <c r="A1518">
        <v>1517</v>
      </c>
      <c r="B1518">
        <v>574</v>
      </c>
      <c r="C1518" t="s">
        <v>73</v>
      </c>
      <c r="D1518" t="s">
        <v>917</v>
      </c>
      <c r="E1518">
        <v>4020</v>
      </c>
      <c r="F1518" t="s">
        <v>103</v>
      </c>
      <c r="G1518" t="s">
        <v>99</v>
      </c>
      <c r="H1518" t="s">
        <v>218</v>
      </c>
      <c r="I1518">
        <v>0</v>
      </c>
      <c r="J1518">
        <v>20488.18</v>
      </c>
      <c r="K1518" t="s">
        <v>936</v>
      </c>
      <c r="L1518" t="s">
        <v>220</v>
      </c>
      <c r="N1518" t="s">
        <v>198</v>
      </c>
    </row>
    <row r="1519" spans="1:14" x14ac:dyDescent="0.45">
      <c r="A1519">
        <v>1518</v>
      </c>
      <c r="B1519">
        <v>574</v>
      </c>
      <c r="C1519" t="s">
        <v>73</v>
      </c>
      <c r="D1519" t="s">
        <v>917</v>
      </c>
      <c r="E1519">
        <v>4030</v>
      </c>
      <c r="F1519" t="s">
        <v>105</v>
      </c>
      <c r="G1519" t="s">
        <v>99</v>
      </c>
      <c r="H1519" t="s">
        <v>218</v>
      </c>
      <c r="I1519">
        <v>0</v>
      </c>
      <c r="J1519">
        <v>15521.35</v>
      </c>
      <c r="K1519" t="s">
        <v>936</v>
      </c>
      <c r="L1519" t="s">
        <v>220</v>
      </c>
      <c r="N1519" t="s">
        <v>198</v>
      </c>
    </row>
    <row r="1520" spans="1:14" x14ac:dyDescent="0.45">
      <c r="A1520">
        <v>1519</v>
      </c>
      <c r="B1520">
        <v>575</v>
      </c>
      <c r="C1520" t="s">
        <v>73</v>
      </c>
      <c r="D1520" t="s">
        <v>919</v>
      </c>
      <c r="E1520">
        <v>1000</v>
      </c>
      <c r="F1520" t="s">
        <v>77</v>
      </c>
      <c r="G1520" t="s">
        <v>78</v>
      </c>
      <c r="H1520" t="s">
        <v>218</v>
      </c>
      <c r="I1520">
        <v>55236.4</v>
      </c>
      <c r="J1520">
        <v>0</v>
      </c>
      <c r="K1520" t="s">
        <v>937</v>
      </c>
      <c r="L1520" t="s">
        <v>223</v>
      </c>
      <c r="N1520" t="s">
        <v>198</v>
      </c>
    </row>
    <row r="1521" spans="1:14" x14ac:dyDescent="0.45">
      <c r="A1521">
        <v>1520</v>
      </c>
      <c r="B1521">
        <v>575</v>
      </c>
      <c r="C1521" t="s">
        <v>73</v>
      </c>
      <c r="D1521" t="s">
        <v>919</v>
      </c>
      <c r="E1521">
        <v>1100</v>
      </c>
      <c r="F1521" t="s">
        <v>80</v>
      </c>
      <c r="G1521" t="s">
        <v>78</v>
      </c>
      <c r="H1521" t="s">
        <v>218</v>
      </c>
      <c r="I1521">
        <v>0</v>
      </c>
      <c r="J1521">
        <v>55236.4</v>
      </c>
      <c r="K1521" t="s">
        <v>937</v>
      </c>
      <c r="L1521" t="s">
        <v>223</v>
      </c>
      <c r="N1521" t="s">
        <v>198</v>
      </c>
    </row>
    <row r="1522" spans="1:14" x14ac:dyDescent="0.45">
      <c r="A1522">
        <v>1521</v>
      </c>
      <c r="B1522">
        <v>576</v>
      </c>
      <c r="C1522" t="s">
        <v>73</v>
      </c>
      <c r="D1522" t="s">
        <v>921</v>
      </c>
      <c r="E1522">
        <v>5010</v>
      </c>
      <c r="F1522" t="s">
        <v>112</v>
      </c>
      <c r="G1522" t="s">
        <v>110</v>
      </c>
      <c r="H1522" t="s">
        <v>218</v>
      </c>
      <c r="I1522">
        <v>3526.04</v>
      </c>
      <c r="J1522">
        <v>0</v>
      </c>
      <c r="K1522" t="s">
        <v>938</v>
      </c>
      <c r="L1522" t="s">
        <v>226</v>
      </c>
      <c r="N1522" t="s">
        <v>198</v>
      </c>
    </row>
    <row r="1523" spans="1:14" x14ac:dyDescent="0.45">
      <c r="A1523">
        <v>1522</v>
      </c>
      <c r="B1523">
        <v>576</v>
      </c>
      <c r="C1523" t="s">
        <v>73</v>
      </c>
      <c r="D1523" t="s">
        <v>921</v>
      </c>
      <c r="E1523">
        <v>5020</v>
      </c>
      <c r="F1523" t="s">
        <v>114</v>
      </c>
      <c r="G1523" t="s">
        <v>110</v>
      </c>
      <c r="H1523" t="s">
        <v>218</v>
      </c>
      <c r="I1523">
        <v>2884.95</v>
      </c>
      <c r="J1523">
        <v>0</v>
      </c>
      <c r="K1523" t="s">
        <v>938</v>
      </c>
      <c r="L1523" t="s">
        <v>226</v>
      </c>
      <c r="N1523" t="s">
        <v>198</v>
      </c>
    </row>
    <row r="1524" spans="1:14" x14ac:dyDescent="0.45">
      <c r="A1524">
        <v>1523</v>
      </c>
      <c r="B1524">
        <v>576</v>
      </c>
      <c r="C1524" t="s">
        <v>73</v>
      </c>
      <c r="D1524" t="s">
        <v>921</v>
      </c>
      <c r="E1524">
        <v>1000</v>
      </c>
      <c r="F1524" t="s">
        <v>77</v>
      </c>
      <c r="G1524" t="s">
        <v>78</v>
      </c>
      <c r="H1524" t="s">
        <v>218</v>
      </c>
      <c r="I1524">
        <v>0</v>
      </c>
      <c r="J1524">
        <v>4487.6899999999996</v>
      </c>
      <c r="K1524" t="s">
        <v>938</v>
      </c>
      <c r="L1524" t="s">
        <v>226</v>
      </c>
      <c r="N1524" t="s">
        <v>198</v>
      </c>
    </row>
    <row r="1525" spans="1:14" x14ac:dyDescent="0.45">
      <c r="A1525">
        <v>1524</v>
      </c>
      <c r="B1525">
        <v>576</v>
      </c>
      <c r="C1525" t="s">
        <v>73</v>
      </c>
      <c r="D1525" t="s">
        <v>921</v>
      </c>
      <c r="E1525">
        <v>2000</v>
      </c>
      <c r="F1525" t="s">
        <v>88</v>
      </c>
      <c r="G1525" t="s">
        <v>89</v>
      </c>
      <c r="H1525" t="s">
        <v>218</v>
      </c>
      <c r="I1525">
        <v>0</v>
      </c>
      <c r="J1525">
        <v>1923.3</v>
      </c>
      <c r="K1525" t="s">
        <v>938</v>
      </c>
      <c r="L1525" t="s">
        <v>226</v>
      </c>
      <c r="N1525" t="s">
        <v>198</v>
      </c>
    </row>
    <row r="1526" spans="1:14" x14ac:dyDescent="0.45">
      <c r="A1526">
        <v>1525</v>
      </c>
      <c r="B1526">
        <v>577</v>
      </c>
      <c r="C1526" t="s">
        <v>73</v>
      </c>
      <c r="D1526" t="s">
        <v>923</v>
      </c>
      <c r="E1526">
        <v>6010</v>
      </c>
      <c r="F1526" t="s">
        <v>119</v>
      </c>
      <c r="G1526" t="s">
        <v>117</v>
      </c>
      <c r="H1526" t="s">
        <v>218</v>
      </c>
      <c r="I1526">
        <v>29995.599999999999</v>
      </c>
      <c r="J1526">
        <v>0</v>
      </c>
      <c r="K1526" t="s">
        <v>939</v>
      </c>
      <c r="L1526" t="s">
        <v>229</v>
      </c>
      <c r="N1526" t="s">
        <v>198</v>
      </c>
    </row>
    <row r="1527" spans="1:14" x14ac:dyDescent="0.45">
      <c r="A1527">
        <v>1526</v>
      </c>
      <c r="B1527">
        <v>577</v>
      </c>
      <c r="C1527" t="s">
        <v>73</v>
      </c>
      <c r="D1527" t="s">
        <v>923</v>
      </c>
      <c r="E1527">
        <v>6020</v>
      </c>
      <c r="F1527" t="s">
        <v>121</v>
      </c>
      <c r="G1527" t="s">
        <v>117</v>
      </c>
      <c r="H1527" t="s">
        <v>218</v>
      </c>
      <c r="I1527">
        <v>4199.38</v>
      </c>
      <c r="J1527">
        <v>0</v>
      </c>
      <c r="K1527" t="s">
        <v>939</v>
      </c>
      <c r="L1527" t="s">
        <v>229</v>
      </c>
      <c r="N1527" t="s">
        <v>198</v>
      </c>
    </row>
    <row r="1528" spans="1:14" x14ac:dyDescent="0.45">
      <c r="A1528">
        <v>1527</v>
      </c>
      <c r="B1528">
        <v>577</v>
      </c>
      <c r="C1528" t="s">
        <v>73</v>
      </c>
      <c r="D1528" t="s">
        <v>923</v>
      </c>
      <c r="E1528">
        <v>1000</v>
      </c>
      <c r="F1528" t="s">
        <v>77</v>
      </c>
      <c r="G1528" t="s">
        <v>78</v>
      </c>
      <c r="H1528" t="s">
        <v>218</v>
      </c>
      <c r="I1528">
        <v>0</v>
      </c>
      <c r="J1528">
        <v>34160.199999999997</v>
      </c>
      <c r="K1528" t="s">
        <v>939</v>
      </c>
      <c r="L1528" t="s">
        <v>229</v>
      </c>
      <c r="N1528" t="s">
        <v>198</v>
      </c>
    </row>
    <row r="1529" spans="1:14" x14ac:dyDescent="0.45">
      <c r="A1529">
        <v>1528</v>
      </c>
      <c r="B1529">
        <v>577</v>
      </c>
      <c r="C1529" t="s">
        <v>73</v>
      </c>
      <c r="D1529" t="s">
        <v>923</v>
      </c>
      <c r="E1529">
        <v>2100</v>
      </c>
      <c r="F1529" t="s">
        <v>91</v>
      </c>
      <c r="G1529" t="s">
        <v>89</v>
      </c>
      <c r="H1529" t="s">
        <v>218</v>
      </c>
      <c r="I1529">
        <v>0</v>
      </c>
      <c r="J1529">
        <v>3419.5</v>
      </c>
      <c r="K1529" t="s">
        <v>939</v>
      </c>
      <c r="L1529" t="s">
        <v>229</v>
      </c>
      <c r="N1529" t="s">
        <v>198</v>
      </c>
    </row>
    <row r="1530" spans="1:14" x14ac:dyDescent="0.45">
      <c r="A1530">
        <v>1529</v>
      </c>
      <c r="B1530">
        <v>577</v>
      </c>
      <c r="C1530" t="s">
        <v>73</v>
      </c>
      <c r="D1530" t="s">
        <v>923</v>
      </c>
      <c r="E1530">
        <v>2100</v>
      </c>
      <c r="F1530" t="s">
        <v>91</v>
      </c>
      <c r="G1530" t="s">
        <v>89</v>
      </c>
      <c r="H1530" t="s">
        <v>218</v>
      </c>
      <c r="I1530">
        <v>3384.72</v>
      </c>
      <c r="J1530">
        <v>0</v>
      </c>
      <c r="K1530" t="s">
        <v>939</v>
      </c>
      <c r="L1530" t="s">
        <v>229</v>
      </c>
      <c r="N1530" t="s">
        <v>198</v>
      </c>
    </row>
    <row r="1531" spans="1:14" x14ac:dyDescent="0.45">
      <c r="A1531">
        <v>1530</v>
      </c>
      <c r="B1531">
        <v>578</v>
      </c>
      <c r="C1531" t="s">
        <v>73</v>
      </c>
      <c r="D1531" t="s">
        <v>925</v>
      </c>
      <c r="E1531">
        <v>6030</v>
      </c>
      <c r="F1531" t="s">
        <v>123</v>
      </c>
      <c r="G1531" t="s">
        <v>117</v>
      </c>
      <c r="H1531" t="s">
        <v>218</v>
      </c>
      <c r="I1531">
        <v>4532.2</v>
      </c>
      <c r="J1531">
        <v>0</v>
      </c>
      <c r="K1531" t="s">
        <v>940</v>
      </c>
      <c r="L1531" t="s">
        <v>232</v>
      </c>
      <c r="N1531" t="s">
        <v>198</v>
      </c>
    </row>
    <row r="1532" spans="1:14" x14ac:dyDescent="0.45">
      <c r="A1532">
        <v>1531</v>
      </c>
      <c r="B1532">
        <v>578</v>
      </c>
      <c r="C1532" t="s">
        <v>73</v>
      </c>
      <c r="D1532" t="s">
        <v>925</v>
      </c>
      <c r="E1532">
        <v>1000</v>
      </c>
      <c r="F1532" t="s">
        <v>77</v>
      </c>
      <c r="G1532" t="s">
        <v>78</v>
      </c>
      <c r="H1532" t="s">
        <v>218</v>
      </c>
      <c r="I1532">
        <v>0</v>
      </c>
      <c r="J1532">
        <v>4532.2</v>
      </c>
      <c r="K1532" t="s">
        <v>940</v>
      </c>
      <c r="L1532" t="s">
        <v>232</v>
      </c>
      <c r="N1532" t="s">
        <v>198</v>
      </c>
    </row>
    <row r="1533" spans="1:14" x14ac:dyDescent="0.45">
      <c r="A1533">
        <v>1532</v>
      </c>
      <c r="B1533">
        <v>579</v>
      </c>
      <c r="C1533" t="s">
        <v>73</v>
      </c>
      <c r="D1533" t="s">
        <v>927</v>
      </c>
      <c r="E1533">
        <v>6040</v>
      </c>
      <c r="F1533" t="s">
        <v>125</v>
      </c>
      <c r="G1533" t="s">
        <v>117</v>
      </c>
      <c r="H1533" t="s">
        <v>218</v>
      </c>
      <c r="I1533">
        <v>1830.08</v>
      </c>
      <c r="J1533">
        <v>0</v>
      </c>
      <c r="K1533" t="s">
        <v>941</v>
      </c>
      <c r="L1533" t="s">
        <v>226</v>
      </c>
      <c r="N1533" t="s">
        <v>198</v>
      </c>
    </row>
    <row r="1534" spans="1:14" x14ac:dyDescent="0.45">
      <c r="A1534">
        <v>1533</v>
      </c>
      <c r="B1534">
        <v>579</v>
      </c>
      <c r="C1534" t="s">
        <v>73</v>
      </c>
      <c r="D1534" t="s">
        <v>927</v>
      </c>
      <c r="E1534">
        <v>1000</v>
      </c>
      <c r="F1534" t="s">
        <v>77</v>
      </c>
      <c r="G1534" t="s">
        <v>78</v>
      </c>
      <c r="H1534" t="s">
        <v>218</v>
      </c>
      <c r="I1534">
        <v>0</v>
      </c>
      <c r="J1534">
        <v>1464.06</v>
      </c>
      <c r="K1534" t="s">
        <v>941</v>
      </c>
      <c r="L1534" t="s">
        <v>226</v>
      </c>
      <c r="N1534" t="s">
        <v>198</v>
      </c>
    </row>
    <row r="1535" spans="1:14" x14ac:dyDescent="0.45">
      <c r="A1535">
        <v>1534</v>
      </c>
      <c r="B1535">
        <v>579</v>
      </c>
      <c r="C1535" t="s">
        <v>73</v>
      </c>
      <c r="D1535" t="s">
        <v>927</v>
      </c>
      <c r="E1535">
        <v>2000</v>
      </c>
      <c r="F1535" t="s">
        <v>88</v>
      </c>
      <c r="G1535" t="s">
        <v>89</v>
      </c>
      <c r="H1535" t="s">
        <v>218</v>
      </c>
      <c r="I1535">
        <v>0</v>
      </c>
      <c r="J1535">
        <v>366.02</v>
      </c>
      <c r="K1535" t="s">
        <v>941</v>
      </c>
      <c r="L1535" t="s">
        <v>226</v>
      </c>
      <c r="N1535" t="s">
        <v>198</v>
      </c>
    </row>
    <row r="1536" spans="1:14" x14ac:dyDescent="0.45">
      <c r="A1536">
        <v>1535</v>
      </c>
      <c r="B1536">
        <v>580</v>
      </c>
      <c r="C1536" t="s">
        <v>73</v>
      </c>
      <c r="D1536" t="s">
        <v>925</v>
      </c>
      <c r="E1536">
        <v>6050</v>
      </c>
      <c r="F1536" t="s">
        <v>127</v>
      </c>
      <c r="G1536" t="s">
        <v>117</v>
      </c>
      <c r="H1536" t="s">
        <v>218</v>
      </c>
      <c r="I1536">
        <v>899</v>
      </c>
      <c r="J1536">
        <v>0</v>
      </c>
      <c r="K1536" t="s">
        <v>942</v>
      </c>
      <c r="L1536" t="s">
        <v>236</v>
      </c>
      <c r="N1536" t="s">
        <v>198</v>
      </c>
    </row>
    <row r="1537" spans="1:14" x14ac:dyDescent="0.45">
      <c r="A1537">
        <v>1536</v>
      </c>
      <c r="B1537">
        <v>580</v>
      </c>
      <c r="C1537" t="s">
        <v>73</v>
      </c>
      <c r="D1537" t="s">
        <v>925</v>
      </c>
      <c r="E1537">
        <v>1200</v>
      </c>
      <c r="F1537" t="s">
        <v>82</v>
      </c>
      <c r="G1537" t="s">
        <v>78</v>
      </c>
      <c r="H1537" t="s">
        <v>218</v>
      </c>
      <c r="I1537">
        <v>0</v>
      </c>
      <c r="J1537">
        <v>899</v>
      </c>
      <c r="K1537" t="s">
        <v>942</v>
      </c>
      <c r="L1537" t="s">
        <v>236</v>
      </c>
      <c r="N1537" t="s">
        <v>198</v>
      </c>
    </row>
    <row r="1538" spans="1:14" x14ac:dyDescent="0.45">
      <c r="A1538">
        <v>1537</v>
      </c>
      <c r="B1538">
        <v>581</v>
      </c>
      <c r="C1538" t="s">
        <v>73</v>
      </c>
      <c r="D1538" t="s">
        <v>930</v>
      </c>
      <c r="E1538">
        <v>6060</v>
      </c>
      <c r="F1538" t="s">
        <v>129</v>
      </c>
      <c r="G1538" t="s">
        <v>117</v>
      </c>
      <c r="H1538" t="s">
        <v>218</v>
      </c>
      <c r="I1538">
        <v>1497.3</v>
      </c>
      <c r="J1538">
        <v>0</v>
      </c>
      <c r="K1538" t="s">
        <v>943</v>
      </c>
      <c r="L1538" t="s">
        <v>232</v>
      </c>
      <c r="N1538" t="s">
        <v>198</v>
      </c>
    </row>
    <row r="1539" spans="1:14" x14ac:dyDescent="0.45">
      <c r="A1539">
        <v>1538</v>
      </c>
      <c r="B1539">
        <v>581</v>
      </c>
      <c r="C1539" t="s">
        <v>73</v>
      </c>
      <c r="D1539" t="s">
        <v>930</v>
      </c>
      <c r="E1539">
        <v>1000</v>
      </c>
      <c r="F1539" t="s">
        <v>77</v>
      </c>
      <c r="G1539" t="s">
        <v>78</v>
      </c>
      <c r="H1539" t="s">
        <v>218</v>
      </c>
      <c r="I1539">
        <v>0</v>
      </c>
      <c r="J1539">
        <v>1497.3</v>
      </c>
      <c r="K1539" t="s">
        <v>943</v>
      </c>
      <c r="L1539" t="s">
        <v>232</v>
      </c>
      <c r="N1539" t="s">
        <v>198</v>
      </c>
    </row>
    <row r="1540" spans="1:14" x14ac:dyDescent="0.45">
      <c r="A1540">
        <v>1539</v>
      </c>
      <c r="B1540">
        <v>582</v>
      </c>
      <c r="C1540" t="s">
        <v>73</v>
      </c>
      <c r="D1540" t="s">
        <v>932</v>
      </c>
      <c r="E1540">
        <v>7000</v>
      </c>
      <c r="F1540" t="s">
        <v>133</v>
      </c>
      <c r="G1540" t="s">
        <v>117</v>
      </c>
      <c r="H1540" t="s">
        <v>218</v>
      </c>
      <c r="I1540">
        <v>682</v>
      </c>
      <c r="J1540">
        <v>0</v>
      </c>
      <c r="K1540" t="s">
        <v>944</v>
      </c>
      <c r="L1540" t="s">
        <v>241</v>
      </c>
      <c r="N1540" t="s">
        <v>198</v>
      </c>
    </row>
    <row r="1541" spans="1:14" x14ac:dyDescent="0.45">
      <c r="A1541">
        <v>1540</v>
      </c>
      <c r="B1541">
        <v>582</v>
      </c>
      <c r="C1541" t="s">
        <v>73</v>
      </c>
      <c r="D1541" t="s">
        <v>932</v>
      </c>
      <c r="E1541">
        <v>1500</v>
      </c>
      <c r="F1541" t="s">
        <v>86</v>
      </c>
      <c r="G1541" t="s">
        <v>78</v>
      </c>
      <c r="H1541" t="s">
        <v>218</v>
      </c>
      <c r="I1541">
        <v>0</v>
      </c>
      <c r="J1541">
        <v>682</v>
      </c>
      <c r="K1541" t="s">
        <v>944</v>
      </c>
      <c r="L1541" t="s">
        <v>241</v>
      </c>
      <c r="N1541" t="s">
        <v>198</v>
      </c>
    </row>
    <row r="1542" spans="1:14" x14ac:dyDescent="0.45">
      <c r="A1542">
        <v>1541</v>
      </c>
      <c r="B1542">
        <v>583</v>
      </c>
      <c r="C1542" t="s">
        <v>73</v>
      </c>
      <c r="D1542" t="s">
        <v>934</v>
      </c>
      <c r="E1542">
        <v>2000</v>
      </c>
      <c r="F1542" t="s">
        <v>88</v>
      </c>
      <c r="G1542" t="s">
        <v>89</v>
      </c>
      <c r="H1542" t="s">
        <v>218</v>
      </c>
      <c r="I1542">
        <v>2351.15</v>
      </c>
      <c r="J1542">
        <v>0</v>
      </c>
      <c r="K1542" t="s">
        <v>945</v>
      </c>
      <c r="L1542" t="s">
        <v>232</v>
      </c>
      <c r="N1542" t="s">
        <v>198</v>
      </c>
    </row>
    <row r="1543" spans="1:14" x14ac:dyDescent="0.45">
      <c r="A1543">
        <v>1542</v>
      </c>
      <c r="B1543">
        <v>583</v>
      </c>
      <c r="C1543" t="s">
        <v>73</v>
      </c>
      <c r="D1543" t="s">
        <v>934</v>
      </c>
      <c r="E1543">
        <v>1000</v>
      </c>
      <c r="F1543" t="s">
        <v>77</v>
      </c>
      <c r="G1543" t="s">
        <v>78</v>
      </c>
      <c r="H1543" t="s">
        <v>218</v>
      </c>
      <c r="I1543">
        <v>0</v>
      </c>
      <c r="J1543">
        <v>2351.15</v>
      </c>
      <c r="K1543" t="s">
        <v>945</v>
      </c>
      <c r="L1543" t="s">
        <v>232</v>
      </c>
      <c r="N1543" t="s">
        <v>198</v>
      </c>
    </row>
    <row r="1544" spans="1:14" x14ac:dyDescent="0.45">
      <c r="A1544">
        <v>1543</v>
      </c>
      <c r="B1544">
        <v>584</v>
      </c>
      <c r="C1544" t="s">
        <v>74</v>
      </c>
      <c r="D1544" t="s">
        <v>917</v>
      </c>
      <c r="E1544">
        <v>1100</v>
      </c>
      <c r="F1544" t="s">
        <v>80</v>
      </c>
      <c r="G1544" t="s">
        <v>78</v>
      </c>
      <c r="H1544" t="s">
        <v>218</v>
      </c>
      <c r="I1544">
        <v>64897.02</v>
      </c>
      <c r="J1544">
        <v>0</v>
      </c>
      <c r="K1544" t="s">
        <v>946</v>
      </c>
      <c r="L1544" t="s">
        <v>220</v>
      </c>
      <c r="N1544" t="s">
        <v>198</v>
      </c>
    </row>
    <row r="1545" spans="1:14" x14ac:dyDescent="0.45">
      <c r="A1545">
        <v>1544</v>
      </c>
      <c r="B1545">
        <v>584</v>
      </c>
      <c r="C1545" t="s">
        <v>74</v>
      </c>
      <c r="D1545" t="s">
        <v>917</v>
      </c>
      <c r="E1545">
        <v>4010</v>
      </c>
      <c r="F1545" t="s">
        <v>101</v>
      </c>
      <c r="G1545" t="s">
        <v>99</v>
      </c>
      <c r="H1545" t="s">
        <v>218</v>
      </c>
      <c r="I1545">
        <v>0</v>
      </c>
      <c r="J1545">
        <v>27256.75</v>
      </c>
      <c r="K1545" t="s">
        <v>946</v>
      </c>
      <c r="L1545" t="s">
        <v>220</v>
      </c>
      <c r="N1545" t="s">
        <v>198</v>
      </c>
    </row>
    <row r="1546" spans="1:14" x14ac:dyDescent="0.45">
      <c r="A1546">
        <v>1545</v>
      </c>
      <c r="B1546">
        <v>584</v>
      </c>
      <c r="C1546" t="s">
        <v>74</v>
      </c>
      <c r="D1546" t="s">
        <v>917</v>
      </c>
      <c r="E1546">
        <v>4020</v>
      </c>
      <c r="F1546" t="s">
        <v>103</v>
      </c>
      <c r="G1546" t="s">
        <v>99</v>
      </c>
      <c r="H1546" t="s">
        <v>218</v>
      </c>
      <c r="I1546">
        <v>0</v>
      </c>
      <c r="J1546">
        <v>21416.02</v>
      </c>
      <c r="K1546" t="s">
        <v>946</v>
      </c>
      <c r="L1546" t="s">
        <v>220</v>
      </c>
      <c r="N1546" t="s">
        <v>198</v>
      </c>
    </row>
    <row r="1547" spans="1:14" x14ac:dyDescent="0.45">
      <c r="A1547">
        <v>1546</v>
      </c>
      <c r="B1547">
        <v>584</v>
      </c>
      <c r="C1547" t="s">
        <v>74</v>
      </c>
      <c r="D1547" t="s">
        <v>917</v>
      </c>
      <c r="E1547">
        <v>4030</v>
      </c>
      <c r="F1547" t="s">
        <v>105</v>
      </c>
      <c r="G1547" t="s">
        <v>99</v>
      </c>
      <c r="H1547" t="s">
        <v>218</v>
      </c>
      <c r="I1547">
        <v>0</v>
      </c>
      <c r="J1547">
        <v>16224.25</v>
      </c>
      <c r="K1547" t="s">
        <v>946</v>
      </c>
      <c r="L1547" t="s">
        <v>220</v>
      </c>
      <c r="N1547" t="s">
        <v>198</v>
      </c>
    </row>
    <row r="1548" spans="1:14" x14ac:dyDescent="0.45">
      <c r="A1548">
        <v>1547</v>
      </c>
      <c r="B1548">
        <v>585</v>
      </c>
      <c r="C1548" t="s">
        <v>74</v>
      </c>
      <c r="D1548" t="s">
        <v>919</v>
      </c>
      <c r="E1548">
        <v>1000</v>
      </c>
      <c r="F1548" t="s">
        <v>77</v>
      </c>
      <c r="G1548" t="s">
        <v>78</v>
      </c>
      <c r="H1548" t="s">
        <v>218</v>
      </c>
      <c r="I1548">
        <v>60409.18</v>
      </c>
      <c r="J1548">
        <v>0</v>
      </c>
      <c r="K1548" t="s">
        <v>947</v>
      </c>
      <c r="L1548" t="s">
        <v>223</v>
      </c>
      <c r="N1548" t="s">
        <v>198</v>
      </c>
    </row>
    <row r="1549" spans="1:14" x14ac:dyDescent="0.45">
      <c r="A1549">
        <v>1548</v>
      </c>
      <c r="B1549">
        <v>585</v>
      </c>
      <c r="C1549" t="s">
        <v>74</v>
      </c>
      <c r="D1549" t="s">
        <v>919</v>
      </c>
      <c r="E1549">
        <v>1100</v>
      </c>
      <c r="F1549" t="s">
        <v>80</v>
      </c>
      <c r="G1549" t="s">
        <v>78</v>
      </c>
      <c r="H1549" t="s">
        <v>218</v>
      </c>
      <c r="I1549">
        <v>0</v>
      </c>
      <c r="J1549">
        <v>60409.18</v>
      </c>
      <c r="K1549" t="s">
        <v>947</v>
      </c>
      <c r="L1549" t="s">
        <v>223</v>
      </c>
      <c r="N1549" t="s">
        <v>198</v>
      </c>
    </row>
    <row r="1550" spans="1:14" x14ac:dyDescent="0.45">
      <c r="A1550">
        <v>1549</v>
      </c>
      <c r="B1550">
        <v>586</v>
      </c>
      <c r="C1550" t="s">
        <v>74</v>
      </c>
      <c r="D1550" t="s">
        <v>921</v>
      </c>
      <c r="E1550">
        <v>5010</v>
      </c>
      <c r="F1550" t="s">
        <v>112</v>
      </c>
      <c r="G1550" t="s">
        <v>110</v>
      </c>
      <c r="H1550" t="s">
        <v>218</v>
      </c>
      <c r="I1550">
        <v>3685.73</v>
      </c>
      <c r="J1550">
        <v>0</v>
      </c>
      <c r="K1550" t="s">
        <v>948</v>
      </c>
      <c r="L1550" t="s">
        <v>226</v>
      </c>
      <c r="N1550" t="s">
        <v>198</v>
      </c>
    </row>
    <row r="1551" spans="1:14" x14ac:dyDescent="0.45">
      <c r="A1551">
        <v>1550</v>
      </c>
      <c r="B1551">
        <v>586</v>
      </c>
      <c r="C1551" t="s">
        <v>74</v>
      </c>
      <c r="D1551" t="s">
        <v>921</v>
      </c>
      <c r="E1551">
        <v>5020</v>
      </c>
      <c r="F1551" t="s">
        <v>114</v>
      </c>
      <c r="G1551" t="s">
        <v>110</v>
      </c>
      <c r="H1551" t="s">
        <v>218</v>
      </c>
      <c r="I1551">
        <v>3015.59</v>
      </c>
      <c r="J1551">
        <v>0</v>
      </c>
      <c r="K1551" t="s">
        <v>948</v>
      </c>
      <c r="L1551" t="s">
        <v>226</v>
      </c>
      <c r="N1551" t="s">
        <v>198</v>
      </c>
    </row>
    <row r="1552" spans="1:14" x14ac:dyDescent="0.45">
      <c r="A1552">
        <v>1551</v>
      </c>
      <c r="B1552">
        <v>586</v>
      </c>
      <c r="C1552" t="s">
        <v>74</v>
      </c>
      <c r="D1552" t="s">
        <v>921</v>
      </c>
      <c r="E1552">
        <v>1000</v>
      </c>
      <c r="F1552" t="s">
        <v>77</v>
      </c>
      <c r="G1552" t="s">
        <v>78</v>
      </c>
      <c r="H1552" t="s">
        <v>218</v>
      </c>
      <c r="I1552">
        <v>0</v>
      </c>
      <c r="J1552">
        <v>4690.92</v>
      </c>
      <c r="K1552" t="s">
        <v>948</v>
      </c>
      <c r="L1552" t="s">
        <v>226</v>
      </c>
      <c r="N1552" t="s">
        <v>198</v>
      </c>
    </row>
    <row r="1553" spans="1:14" x14ac:dyDescent="0.45">
      <c r="A1553">
        <v>1552</v>
      </c>
      <c r="B1553">
        <v>586</v>
      </c>
      <c r="C1553" t="s">
        <v>74</v>
      </c>
      <c r="D1553" t="s">
        <v>921</v>
      </c>
      <c r="E1553">
        <v>2000</v>
      </c>
      <c r="F1553" t="s">
        <v>88</v>
      </c>
      <c r="G1553" t="s">
        <v>89</v>
      </c>
      <c r="H1553" t="s">
        <v>218</v>
      </c>
      <c r="I1553">
        <v>0</v>
      </c>
      <c r="J1553">
        <v>2010.4</v>
      </c>
      <c r="K1553" t="s">
        <v>948</v>
      </c>
      <c r="L1553" t="s">
        <v>226</v>
      </c>
      <c r="N1553" t="s">
        <v>198</v>
      </c>
    </row>
    <row r="1554" spans="1:14" x14ac:dyDescent="0.45">
      <c r="A1554">
        <v>1553</v>
      </c>
      <c r="B1554">
        <v>587</v>
      </c>
      <c r="C1554" t="s">
        <v>74</v>
      </c>
      <c r="D1554" t="s">
        <v>923</v>
      </c>
      <c r="E1554">
        <v>6010</v>
      </c>
      <c r="F1554" t="s">
        <v>119</v>
      </c>
      <c r="G1554" t="s">
        <v>117</v>
      </c>
      <c r="H1554" t="s">
        <v>218</v>
      </c>
      <c r="I1554">
        <v>26609</v>
      </c>
      <c r="J1554">
        <v>0</v>
      </c>
      <c r="K1554" t="s">
        <v>949</v>
      </c>
      <c r="L1554" t="s">
        <v>229</v>
      </c>
      <c r="N1554" t="s">
        <v>198</v>
      </c>
    </row>
    <row r="1555" spans="1:14" x14ac:dyDescent="0.45">
      <c r="A1555">
        <v>1554</v>
      </c>
      <c r="B1555">
        <v>587</v>
      </c>
      <c r="C1555" t="s">
        <v>74</v>
      </c>
      <c r="D1555" t="s">
        <v>923</v>
      </c>
      <c r="E1555">
        <v>6020</v>
      </c>
      <c r="F1555" t="s">
        <v>121</v>
      </c>
      <c r="G1555" t="s">
        <v>117</v>
      </c>
      <c r="H1555" t="s">
        <v>218</v>
      </c>
      <c r="I1555">
        <v>3725.26</v>
      </c>
      <c r="J1555">
        <v>0</v>
      </c>
      <c r="K1555" t="s">
        <v>949</v>
      </c>
      <c r="L1555" t="s">
        <v>229</v>
      </c>
      <c r="N1555" t="s">
        <v>198</v>
      </c>
    </row>
    <row r="1556" spans="1:14" x14ac:dyDescent="0.45">
      <c r="A1556">
        <v>1555</v>
      </c>
      <c r="B1556">
        <v>587</v>
      </c>
      <c r="C1556" t="s">
        <v>74</v>
      </c>
      <c r="D1556" t="s">
        <v>923</v>
      </c>
      <c r="E1556">
        <v>1000</v>
      </c>
      <c r="F1556" t="s">
        <v>77</v>
      </c>
      <c r="G1556" t="s">
        <v>78</v>
      </c>
      <c r="H1556" t="s">
        <v>218</v>
      </c>
      <c r="I1556">
        <v>0</v>
      </c>
      <c r="J1556">
        <v>30303.41</v>
      </c>
      <c r="K1556" t="s">
        <v>949</v>
      </c>
      <c r="L1556" t="s">
        <v>229</v>
      </c>
      <c r="N1556" t="s">
        <v>198</v>
      </c>
    </row>
    <row r="1557" spans="1:14" x14ac:dyDescent="0.45">
      <c r="A1557">
        <v>1556</v>
      </c>
      <c r="B1557">
        <v>587</v>
      </c>
      <c r="C1557" t="s">
        <v>74</v>
      </c>
      <c r="D1557" t="s">
        <v>923</v>
      </c>
      <c r="E1557">
        <v>2100</v>
      </c>
      <c r="F1557" t="s">
        <v>91</v>
      </c>
      <c r="G1557" t="s">
        <v>89</v>
      </c>
      <c r="H1557" t="s">
        <v>218</v>
      </c>
      <c r="I1557">
        <v>0</v>
      </c>
      <c r="J1557">
        <v>3033.43</v>
      </c>
      <c r="K1557" t="s">
        <v>949</v>
      </c>
      <c r="L1557" t="s">
        <v>229</v>
      </c>
      <c r="N1557" t="s">
        <v>198</v>
      </c>
    </row>
    <row r="1558" spans="1:14" x14ac:dyDescent="0.45">
      <c r="A1558">
        <v>1557</v>
      </c>
      <c r="B1558">
        <v>587</v>
      </c>
      <c r="C1558" t="s">
        <v>74</v>
      </c>
      <c r="D1558" t="s">
        <v>923</v>
      </c>
      <c r="E1558">
        <v>2100</v>
      </c>
      <c r="F1558" t="s">
        <v>91</v>
      </c>
      <c r="G1558" t="s">
        <v>89</v>
      </c>
      <c r="H1558" t="s">
        <v>218</v>
      </c>
      <c r="I1558">
        <v>3002.58</v>
      </c>
      <c r="J1558">
        <v>0</v>
      </c>
      <c r="K1558" t="s">
        <v>949</v>
      </c>
      <c r="L1558" t="s">
        <v>229</v>
      </c>
      <c r="N1558" t="s">
        <v>198</v>
      </c>
    </row>
    <row r="1559" spans="1:14" x14ac:dyDescent="0.45">
      <c r="A1559">
        <v>1558</v>
      </c>
      <c r="B1559">
        <v>588</v>
      </c>
      <c r="C1559" t="s">
        <v>74</v>
      </c>
      <c r="D1559" t="s">
        <v>925</v>
      </c>
      <c r="E1559">
        <v>6030</v>
      </c>
      <c r="F1559" t="s">
        <v>123</v>
      </c>
      <c r="G1559" t="s">
        <v>117</v>
      </c>
      <c r="H1559" t="s">
        <v>218</v>
      </c>
      <c r="I1559">
        <v>4020.5</v>
      </c>
      <c r="J1559">
        <v>0</v>
      </c>
      <c r="K1559" t="s">
        <v>950</v>
      </c>
      <c r="L1559" t="s">
        <v>232</v>
      </c>
      <c r="N1559" t="s">
        <v>198</v>
      </c>
    </row>
    <row r="1560" spans="1:14" x14ac:dyDescent="0.45">
      <c r="A1560">
        <v>1559</v>
      </c>
      <c r="B1560">
        <v>588</v>
      </c>
      <c r="C1560" t="s">
        <v>74</v>
      </c>
      <c r="D1560" t="s">
        <v>925</v>
      </c>
      <c r="E1560">
        <v>1000</v>
      </c>
      <c r="F1560" t="s">
        <v>77</v>
      </c>
      <c r="G1560" t="s">
        <v>78</v>
      </c>
      <c r="H1560" t="s">
        <v>218</v>
      </c>
      <c r="I1560">
        <v>0</v>
      </c>
      <c r="J1560">
        <v>4020.5</v>
      </c>
      <c r="K1560" t="s">
        <v>950</v>
      </c>
      <c r="L1560" t="s">
        <v>232</v>
      </c>
      <c r="N1560" t="s">
        <v>198</v>
      </c>
    </row>
    <row r="1561" spans="1:14" x14ac:dyDescent="0.45">
      <c r="A1561">
        <v>1560</v>
      </c>
      <c r="B1561">
        <v>589</v>
      </c>
      <c r="C1561" t="s">
        <v>74</v>
      </c>
      <c r="D1561" t="s">
        <v>927</v>
      </c>
      <c r="E1561">
        <v>6040</v>
      </c>
      <c r="F1561" t="s">
        <v>125</v>
      </c>
      <c r="G1561" t="s">
        <v>117</v>
      </c>
      <c r="H1561" t="s">
        <v>218</v>
      </c>
      <c r="I1561">
        <v>1912.96</v>
      </c>
      <c r="J1561">
        <v>0</v>
      </c>
      <c r="K1561" t="s">
        <v>951</v>
      </c>
      <c r="L1561" t="s">
        <v>226</v>
      </c>
      <c r="N1561" t="s">
        <v>198</v>
      </c>
    </row>
    <row r="1562" spans="1:14" x14ac:dyDescent="0.45">
      <c r="A1562">
        <v>1561</v>
      </c>
      <c r="B1562">
        <v>589</v>
      </c>
      <c r="C1562" t="s">
        <v>74</v>
      </c>
      <c r="D1562" t="s">
        <v>927</v>
      </c>
      <c r="E1562">
        <v>1000</v>
      </c>
      <c r="F1562" t="s">
        <v>77</v>
      </c>
      <c r="G1562" t="s">
        <v>78</v>
      </c>
      <c r="H1562" t="s">
        <v>218</v>
      </c>
      <c r="I1562">
        <v>0</v>
      </c>
      <c r="J1562">
        <v>1530.37</v>
      </c>
      <c r="K1562" t="s">
        <v>951</v>
      </c>
      <c r="L1562" t="s">
        <v>226</v>
      </c>
      <c r="N1562" t="s">
        <v>198</v>
      </c>
    </row>
    <row r="1563" spans="1:14" x14ac:dyDescent="0.45">
      <c r="A1563">
        <v>1562</v>
      </c>
      <c r="B1563">
        <v>589</v>
      </c>
      <c r="C1563" t="s">
        <v>74</v>
      </c>
      <c r="D1563" t="s">
        <v>927</v>
      </c>
      <c r="E1563">
        <v>2000</v>
      </c>
      <c r="F1563" t="s">
        <v>88</v>
      </c>
      <c r="G1563" t="s">
        <v>89</v>
      </c>
      <c r="H1563" t="s">
        <v>218</v>
      </c>
      <c r="I1563">
        <v>0</v>
      </c>
      <c r="J1563">
        <v>382.59</v>
      </c>
      <c r="K1563" t="s">
        <v>951</v>
      </c>
      <c r="L1563" t="s">
        <v>226</v>
      </c>
      <c r="N1563" t="s">
        <v>198</v>
      </c>
    </row>
    <row r="1564" spans="1:14" x14ac:dyDescent="0.45">
      <c r="A1564">
        <v>1563</v>
      </c>
      <c r="B1564">
        <v>590</v>
      </c>
      <c r="C1564" t="s">
        <v>74</v>
      </c>
      <c r="D1564" t="s">
        <v>925</v>
      </c>
      <c r="E1564">
        <v>6050</v>
      </c>
      <c r="F1564" t="s">
        <v>127</v>
      </c>
      <c r="G1564" t="s">
        <v>117</v>
      </c>
      <c r="H1564" t="s">
        <v>218</v>
      </c>
      <c r="I1564">
        <v>797.5</v>
      </c>
      <c r="J1564">
        <v>0</v>
      </c>
      <c r="K1564" t="s">
        <v>952</v>
      </c>
      <c r="L1564" t="s">
        <v>236</v>
      </c>
      <c r="N1564" t="s">
        <v>198</v>
      </c>
    </row>
    <row r="1565" spans="1:14" x14ac:dyDescent="0.45">
      <c r="A1565">
        <v>1564</v>
      </c>
      <c r="B1565">
        <v>590</v>
      </c>
      <c r="C1565" t="s">
        <v>74</v>
      </c>
      <c r="D1565" t="s">
        <v>925</v>
      </c>
      <c r="E1565">
        <v>1200</v>
      </c>
      <c r="F1565" t="s">
        <v>82</v>
      </c>
      <c r="G1565" t="s">
        <v>78</v>
      </c>
      <c r="H1565" t="s">
        <v>218</v>
      </c>
      <c r="I1565">
        <v>0</v>
      </c>
      <c r="J1565">
        <v>797.5</v>
      </c>
      <c r="K1565" t="s">
        <v>952</v>
      </c>
      <c r="L1565" t="s">
        <v>236</v>
      </c>
      <c r="N1565" t="s">
        <v>198</v>
      </c>
    </row>
    <row r="1566" spans="1:14" x14ac:dyDescent="0.45">
      <c r="A1566">
        <v>1565</v>
      </c>
      <c r="B1566">
        <v>591</v>
      </c>
      <c r="C1566" t="s">
        <v>74</v>
      </c>
      <c r="D1566" t="s">
        <v>930</v>
      </c>
      <c r="E1566">
        <v>6060</v>
      </c>
      <c r="F1566" t="s">
        <v>129</v>
      </c>
      <c r="G1566" t="s">
        <v>117</v>
      </c>
      <c r="H1566" t="s">
        <v>218</v>
      </c>
      <c r="I1566">
        <v>1328.25</v>
      </c>
      <c r="J1566">
        <v>0</v>
      </c>
      <c r="K1566" t="s">
        <v>953</v>
      </c>
      <c r="L1566" t="s">
        <v>232</v>
      </c>
      <c r="N1566" t="s">
        <v>198</v>
      </c>
    </row>
    <row r="1567" spans="1:14" x14ac:dyDescent="0.45">
      <c r="A1567">
        <v>1566</v>
      </c>
      <c r="B1567">
        <v>591</v>
      </c>
      <c r="C1567" t="s">
        <v>74</v>
      </c>
      <c r="D1567" t="s">
        <v>930</v>
      </c>
      <c r="E1567">
        <v>1000</v>
      </c>
      <c r="F1567" t="s">
        <v>77</v>
      </c>
      <c r="G1567" t="s">
        <v>78</v>
      </c>
      <c r="H1567" t="s">
        <v>218</v>
      </c>
      <c r="I1567">
        <v>0</v>
      </c>
      <c r="J1567">
        <v>1328.25</v>
      </c>
      <c r="K1567" t="s">
        <v>953</v>
      </c>
      <c r="L1567" t="s">
        <v>232</v>
      </c>
      <c r="N1567" t="s">
        <v>198</v>
      </c>
    </row>
    <row r="1568" spans="1:14" x14ac:dyDescent="0.45">
      <c r="A1568">
        <v>1567</v>
      </c>
      <c r="B1568">
        <v>592</v>
      </c>
      <c r="C1568" t="s">
        <v>74</v>
      </c>
      <c r="D1568" t="s">
        <v>932</v>
      </c>
      <c r="E1568">
        <v>7000</v>
      </c>
      <c r="F1568" t="s">
        <v>133</v>
      </c>
      <c r="G1568" t="s">
        <v>117</v>
      </c>
      <c r="H1568" t="s">
        <v>218</v>
      </c>
      <c r="I1568">
        <v>605</v>
      </c>
      <c r="J1568">
        <v>0</v>
      </c>
      <c r="K1568" t="s">
        <v>954</v>
      </c>
      <c r="L1568" t="s">
        <v>241</v>
      </c>
      <c r="N1568" t="s">
        <v>198</v>
      </c>
    </row>
    <row r="1569" spans="1:14" x14ac:dyDescent="0.45">
      <c r="A1569">
        <v>1568</v>
      </c>
      <c r="B1569">
        <v>592</v>
      </c>
      <c r="C1569" t="s">
        <v>74</v>
      </c>
      <c r="D1569" t="s">
        <v>932</v>
      </c>
      <c r="E1569">
        <v>1500</v>
      </c>
      <c r="F1569" t="s">
        <v>86</v>
      </c>
      <c r="G1569" t="s">
        <v>78</v>
      </c>
      <c r="H1569" t="s">
        <v>218</v>
      </c>
      <c r="I1569">
        <v>0</v>
      </c>
      <c r="J1569">
        <v>605</v>
      </c>
      <c r="K1569" t="s">
        <v>954</v>
      </c>
      <c r="L1569" t="s">
        <v>241</v>
      </c>
      <c r="N1569" t="s">
        <v>198</v>
      </c>
    </row>
    <row r="1570" spans="1:14" x14ac:dyDescent="0.45">
      <c r="A1570">
        <v>1569</v>
      </c>
      <c r="B1570">
        <v>593</v>
      </c>
      <c r="C1570" t="s">
        <v>74</v>
      </c>
      <c r="D1570" t="s">
        <v>934</v>
      </c>
      <c r="E1570">
        <v>2000</v>
      </c>
      <c r="F1570" t="s">
        <v>88</v>
      </c>
      <c r="G1570" t="s">
        <v>89</v>
      </c>
      <c r="H1570" t="s">
        <v>218</v>
      </c>
      <c r="I1570">
        <v>1974.34</v>
      </c>
      <c r="J1570">
        <v>0</v>
      </c>
      <c r="K1570" t="s">
        <v>955</v>
      </c>
      <c r="L1570" t="s">
        <v>232</v>
      </c>
      <c r="N1570" t="s">
        <v>198</v>
      </c>
    </row>
    <row r="1571" spans="1:14" x14ac:dyDescent="0.45">
      <c r="A1571">
        <v>1570</v>
      </c>
      <c r="B1571">
        <v>593</v>
      </c>
      <c r="C1571" t="s">
        <v>74</v>
      </c>
      <c r="D1571" t="s">
        <v>934</v>
      </c>
      <c r="E1571">
        <v>1000</v>
      </c>
      <c r="F1571" t="s">
        <v>77</v>
      </c>
      <c r="G1571" t="s">
        <v>78</v>
      </c>
      <c r="H1571" t="s">
        <v>218</v>
      </c>
      <c r="I1571">
        <v>0</v>
      </c>
      <c r="J1571">
        <v>1974.34</v>
      </c>
      <c r="K1571" t="s">
        <v>955</v>
      </c>
      <c r="L1571" t="s">
        <v>232</v>
      </c>
      <c r="N1571" t="s">
        <v>198</v>
      </c>
    </row>
    <row r="1572" spans="1:14" x14ac:dyDescent="0.45">
      <c r="A1572">
        <v>1571</v>
      </c>
      <c r="B1572">
        <v>594</v>
      </c>
      <c r="C1572" t="s">
        <v>72</v>
      </c>
      <c r="D1572" t="s">
        <v>956</v>
      </c>
      <c r="E1572">
        <v>1300</v>
      </c>
      <c r="F1572" t="s">
        <v>84</v>
      </c>
      <c r="G1572" t="s">
        <v>78</v>
      </c>
      <c r="H1572" t="s">
        <v>261</v>
      </c>
      <c r="I1572">
        <v>3707.6</v>
      </c>
      <c r="J1572">
        <v>0</v>
      </c>
      <c r="K1572" t="s">
        <v>957</v>
      </c>
      <c r="L1572" t="s">
        <v>263</v>
      </c>
      <c r="M1572" t="s">
        <v>73</v>
      </c>
      <c r="N1572" t="s">
        <v>198</v>
      </c>
    </row>
    <row r="1573" spans="1:14" x14ac:dyDescent="0.45">
      <c r="A1573">
        <v>1572</v>
      </c>
      <c r="B1573">
        <v>594</v>
      </c>
      <c r="C1573" t="s">
        <v>72</v>
      </c>
      <c r="D1573" t="s">
        <v>956</v>
      </c>
      <c r="E1573">
        <v>4090</v>
      </c>
      <c r="F1573" t="s">
        <v>107</v>
      </c>
      <c r="G1573" t="s">
        <v>99</v>
      </c>
      <c r="H1573" t="s">
        <v>261</v>
      </c>
      <c r="I1573">
        <v>0</v>
      </c>
      <c r="J1573">
        <v>3707.6</v>
      </c>
      <c r="K1573" t="s">
        <v>957</v>
      </c>
      <c r="L1573" t="s">
        <v>263</v>
      </c>
      <c r="M1573" t="s">
        <v>73</v>
      </c>
      <c r="N1573" t="s">
        <v>198</v>
      </c>
    </row>
    <row r="1574" spans="1:14" x14ac:dyDescent="0.45">
      <c r="A1574">
        <v>1573</v>
      </c>
      <c r="B1574">
        <v>595</v>
      </c>
      <c r="C1574" t="s">
        <v>73</v>
      </c>
      <c r="D1574" t="s">
        <v>956</v>
      </c>
      <c r="E1574">
        <v>6070</v>
      </c>
      <c r="F1574" t="s">
        <v>131</v>
      </c>
      <c r="G1574" t="s">
        <v>117</v>
      </c>
      <c r="H1574" t="s">
        <v>261</v>
      </c>
      <c r="I1574">
        <v>3707.6</v>
      </c>
      <c r="J1574">
        <v>0</v>
      </c>
      <c r="K1574" t="s">
        <v>958</v>
      </c>
      <c r="L1574" t="s">
        <v>263</v>
      </c>
      <c r="M1574" t="s">
        <v>72</v>
      </c>
      <c r="N1574" t="s">
        <v>198</v>
      </c>
    </row>
    <row r="1575" spans="1:14" x14ac:dyDescent="0.45">
      <c r="A1575">
        <v>1574</v>
      </c>
      <c r="B1575">
        <v>595</v>
      </c>
      <c r="C1575" t="s">
        <v>73</v>
      </c>
      <c r="D1575" t="s">
        <v>956</v>
      </c>
      <c r="E1575">
        <v>2200</v>
      </c>
      <c r="F1575" t="s">
        <v>93</v>
      </c>
      <c r="G1575" t="s">
        <v>89</v>
      </c>
      <c r="H1575" t="s">
        <v>261</v>
      </c>
      <c r="I1575">
        <v>0</v>
      </c>
      <c r="J1575">
        <v>3707.6</v>
      </c>
      <c r="K1575" t="s">
        <v>958</v>
      </c>
      <c r="L1575" t="s">
        <v>263</v>
      </c>
      <c r="M1575" t="s">
        <v>72</v>
      </c>
      <c r="N1575" t="s">
        <v>198</v>
      </c>
    </row>
    <row r="1576" spans="1:14" x14ac:dyDescent="0.45">
      <c r="A1576">
        <v>1575</v>
      </c>
      <c r="B1576">
        <v>596</v>
      </c>
      <c r="C1576" t="s">
        <v>73</v>
      </c>
      <c r="D1576" t="s">
        <v>959</v>
      </c>
      <c r="E1576">
        <v>2200</v>
      </c>
      <c r="F1576" t="s">
        <v>93</v>
      </c>
      <c r="G1576" t="s">
        <v>89</v>
      </c>
      <c r="H1576" t="s">
        <v>261</v>
      </c>
      <c r="I1576">
        <v>3675.36</v>
      </c>
      <c r="J1576">
        <v>0</v>
      </c>
      <c r="K1576" t="s">
        <v>960</v>
      </c>
      <c r="L1576" t="s">
        <v>309</v>
      </c>
      <c r="M1576" t="s">
        <v>72</v>
      </c>
      <c r="N1576" t="s">
        <v>198</v>
      </c>
    </row>
    <row r="1577" spans="1:14" x14ac:dyDescent="0.45">
      <c r="A1577">
        <v>1576</v>
      </c>
      <c r="B1577">
        <v>596</v>
      </c>
      <c r="C1577" t="s">
        <v>73</v>
      </c>
      <c r="D1577" t="s">
        <v>959</v>
      </c>
      <c r="E1577">
        <v>1000</v>
      </c>
      <c r="F1577" t="s">
        <v>77</v>
      </c>
      <c r="G1577" t="s">
        <v>78</v>
      </c>
      <c r="H1577" t="s">
        <v>218</v>
      </c>
      <c r="I1577">
        <v>0</v>
      </c>
      <c r="J1577">
        <v>3675.36</v>
      </c>
      <c r="K1577" t="s">
        <v>960</v>
      </c>
      <c r="L1577" t="s">
        <v>309</v>
      </c>
      <c r="M1577" t="s">
        <v>72</v>
      </c>
      <c r="N1577" t="s">
        <v>198</v>
      </c>
    </row>
    <row r="1578" spans="1:14" x14ac:dyDescent="0.45">
      <c r="A1578">
        <v>1577</v>
      </c>
      <c r="B1578">
        <v>597</v>
      </c>
      <c r="C1578" t="s">
        <v>72</v>
      </c>
      <c r="D1578" t="s">
        <v>959</v>
      </c>
      <c r="E1578">
        <v>1000</v>
      </c>
      <c r="F1578" t="s">
        <v>77</v>
      </c>
      <c r="G1578" t="s">
        <v>78</v>
      </c>
      <c r="H1578" t="s">
        <v>218</v>
      </c>
      <c r="I1578">
        <v>3675.36</v>
      </c>
      <c r="J1578">
        <v>0</v>
      </c>
      <c r="K1578" t="s">
        <v>961</v>
      </c>
      <c r="L1578" t="s">
        <v>309</v>
      </c>
      <c r="M1578" t="s">
        <v>73</v>
      </c>
      <c r="N1578" t="s">
        <v>198</v>
      </c>
    </row>
    <row r="1579" spans="1:14" x14ac:dyDescent="0.45">
      <c r="A1579">
        <v>1578</v>
      </c>
      <c r="B1579">
        <v>597</v>
      </c>
      <c r="C1579" t="s">
        <v>72</v>
      </c>
      <c r="D1579" t="s">
        <v>959</v>
      </c>
      <c r="E1579">
        <v>1300</v>
      </c>
      <c r="F1579" t="s">
        <v>84</v>
      </c>
      <c r="G1579" t="s">
        <v>78</v>
      </c>
      <c r="H1579" t="s">
        <v>261</v>
      </c>
      <c r="I1579">
        <v>0</v>
      </c>
      <c r="J1579">
        <v>3675.36</v>
      </c>
      <c r="K1579" t="s">
        <v>961</v>
      </c>
      <c r="L1579" t="s">
        <v>309</v>
      </c>
      <c r="M1579" t="s">
        <v>73</v>
      </c>
      <c r="N1579" t="s">
        <v>198</v>
      </c>
    </row>
    <row r="1580" spans="1:14" x14ac:dyDescent="0.45">
      <c r="A1580">
        <v>1579</v>
      </c>
      <c r="B1580">
        <v>598</v>
      </c>
      <c r="C1580" t="s">
        <v>72</v>
      </c>
      <c r="D1580" t="s">
        <v>956</v>
      </c>
      <c r="E1580">
        <v>1300</v>
      </c>
      <c r="F1580" t="s">
        <v>84</v>
      </c>
      <c r="G1580" t="s">
        <v>78</v>
      </c>
      <c r="H1580" t="s">
        <v>261</v>
      </c>
      <c r="I1580">
        <v>3289</v>
      </c>
      <c r="J1580">
        <v>0</v>
      </c>
      <c r="K1580" t="s">
        <v>962</v>
      </c>
      <c r="L1580" t="s">
        <v>263</v>
      </c>
      <c r="M1580" t="s">
        <v>74</v>
      </c>
      <c r="N1580" t="s">
        <v>198</v>
      </c>
    </row>
    <row r="1581" spans="1:14" x14ac:dyDescent="0.45">
      <c r="A1581">
        <v>1580</v>
      </c>
      <c r="B1581">
        <v>598</v>
      </c>
      <c r="C1581" t="s">
        <v>72</v>
      </c>
      <c r="D1581" t="s">
        <v>956</v>
      </c>
      <c r="E1581">
        <v>4090</v>
      </c>
      <c r="F1581" t="s">
        <v>107</v>
      </c>
      <c r="G1581" t="s">
        <v>99</v>
      </c>
      <c r="H1581" t="s">
        <v>261</v>
      </c>
      <c r="I1581">
        <v>0</v>
      </c>
      <c r="J1581">
        <v>3289</v>
      </c>
      <c r="K1581" t="s">
        <v>962</v>
      </c>
      <c r="L1581" t="s">
        <v>263</v>
      </c>
      <c r="M1581" t="s">
        <v>74</v>
      </c>
      <c r="N1581" t="s">
        <v>198</v>
      </c>
    </row>
    <row r="1582" spans="1:14" x14ac:dyDescent="0.45">
      <c r="A1582">
        <v>1581</v>
      </c>
      <c r="B1582">
        <v>599</v>
      </c>
      <c r="C1582" t="s">
        <v>74</v>
      </c>
      <c r="D1582" t="s">
        <v>956</v>
      </c>
      <c r="E1582">
        <v>6070</v>
      </c>
      <c r="F1582" t="s">
        <v>131</v>
      </c>
      <c r="G1582" t="s">
        <v>117</v>
      </c>
      <c r="H1582" t="s">
        <v>261</v>
      </c>
      <c r="I1582">
        <v>3289</v>
      </c>
      <c r="J1582">
        <v>0</v>
      </c>
      <c r="K1582" t="s">
        <v>958</v>
      </c>
      <c r="L1582" t="s">
        <v>263</v>
      </c>
      <c r="M1582" t="s">
        <v>72</v>
      </c>
      <c r="N1582" t="s">
        <v>198</v>
      </c>
    </row>
    <row r="1583" spans="1:14" x14ac:dyDescent="0.45">
      <c r="A1583">
        <v>1582</v>
      </c>
      <c r="B1583">
        <v>599</v>
      </c>
      <c r="C1583" t="s">
        <v>74</v>
      </c>
      <c r="D1583" t="s">
        <v>956</v>
      </c>
      <c r="E1583">
        <v>2200</v>
      </c>
      <c r="F1583" t="s">
        <v>93</v>
      </c>
      <c r="G1583" t="s">
        <v>89</v>
      </c>
      <c r="H1583" t="s">
        <v>261</v>
      </c>
      <c r="I1583">
        <v>0</v>
      </c>
      <c r="J1583">
        <v>3289</v>
      </c>
      <c r="K1583" t="s">
        <v>958</v>
      </c>
      <c r="L1583" t="s">
        <v>263</v>
      </c>
      <c r="M1583" t="s">
        <v>72</v>
      </c>
      <c r="N1583" t="s">
        <v>198</v>
      </c>
    </row>
    <row r="1584" spans="1:14" x14ac:dyDescent="0.45">
      <c r="A1584">
        <v>1583</v>
      </c>
      <c r="B1584">
        <v>600</v>
      </c>
      <c r="C1584" t="s">
        <v>74</v>
      </c>
      <c r="D1584" t="s">
        <v>959</v>
      </c>
      <c r="E1584">
        <v>2200</v>
      </c>
      <c r="F1584" t="s">
        <v>93</v>
      </c>
      <c r="G1584" t="s">
        <v>89</v>
      </c>
      <c r="H1584" t="s">
        <v>261</v>
      </c>
      <c r="I1584">
        <v>3260.4</v>
      </c>
      <c r="J1584">
        <v>0</v>
      </c>
      <c r="K1584" t="s">
        <v>960</v>
      </c>
      <c r="L1584" t="s">
        <v>309</v>
      </c>
      <c r="M1584" t="s">
        <v>72</v>
      </c>
      <c r="N1584" t="s">
        <v>198</v>
      </c>
    </row>
    <row r="1585" spans="1:14" x14ac:dyDescent="0.45">
      <c r="A1585">
        <v>1584</v>
      </c>
      <c r="B1585">
        <v>600</v>
      </c>
      <c r="C1585" t="s">
        <v>74</v>
      </c>
      <c r="D1585" t="s">
        <v>959</v>
      </c>
      <c r="E1585">
        <v>1000</v>
      </c>
      <c r="F1585" t="s">
        <v>77</v>
      </c>
      <c r="G1585" t="s">
        <v>78</v>
      </c>
      <c r="H1585" t="s">
        <v>218</v>
      </c>
      <c r="I1585">
        <v>0</v>
      </c>
      <c r="J1585">
        <v>3260.4</v>
      </c>
      <c r="K1585" t="s">
        <v>960</v>
      </c>
      <c r="L1585" t="s">
        <v>309</v>
      </c>
      <c r="M1585" t="s">
        <v>72</v>
      </c>
      <c r="N1585" t="s">
        <v>198</v>
      </c>
    </row>
    <row r="1586" spans="1:14" x14ac:dyDescent="0.45">
      <c r="A1586">
        <v>1585</v>
      </c>
      <c r="B1586">
        <v>601</v>
      </c>
      <c r="C1586" t="s">
        <v>72</v>
      </c>
      <c r="D1586" t="s">
        <v>959</v>
      </c>
      <c r="E1586">
        <v>1000</v>
      </c>
      <c r="F1586" t="s">
        <v>77</v>
      </c>
      <c r="G1586" t="s">
        <v>78</v>
      </c>
      <c r="H1586" t="s">
        <v>218</v>
      </c>
      <c r="I1586">
        <v>3260.4</v>
      </c>
      <c r="J1586">
        <v>0</v>
      </c>
      <c r="K1586" t="s">
        <v>963</v>
      </c>
      <c r="L1586" t="s">
        <v>309</v>
      </c>
      <c r="M1586" t="s">
        <v>74</v>
      </c>
      <c r="N1586" t="s">
        <v>198</v>
      </c>
    </row>
    <row r="1587" spans="1:14" x14ac:dyDescent="0.45">
      <c r="A1587">
        <v>1586</v>
      </c>
      <c r="B1587">
        <v>601</v>
      </c>
      <c r="C1587" t="s">
        <v>72</v>
      </c>
      <c r="D1587" t="s">
        <v>959</v>
      </c>
      <c r="E1587">
        <v>1300</v>
      </c>
      <c r="F1587" t="s">
        <v>84</v>
      </c>
      <c r="G1587" t="s">
        <v>78</v>
      </c>
      <c r="H1587" t="s">
        <v>261</v>
      </c>
      <c r="I1587">
        <v>0</v>
      </c>
      <c r="J1587">
        <v>3260.4</v>
      </c>
      <c r="K1587" t="s">
        <v>963</v>
      </c>
      <c r="L1587" t="s">
        <v>309</v>
      </c>
      <c r="M1587" t="s">
        <v>74</v>
      </c>
      <c r="N1587" t="s">
        <v>198</v>
      </c>
    </row>
    <row r="1588" spans="1:14" x14ac:dyDescent="0.45">
      <c r="A1588">
        <v>1587</v>
      </c>
      <c r="B1588">
        <v>602</v>
      </c>
      <c r="C1588" t="s">
        <v>72</v>
      </c>
      <c r="D1588" t="s">
        <v>964</v>
      </c>
      <c r="E1588">
        <v>1100</v>
      </c>
      <c r="F1588" t="s">
        <v>80</v>
      </c>
      <c r="G1588" t="s">
        <v>78</v>
      </c>
      <c r="H1588" t="s">
        <v>218</v>
      </c>
      <c r="I1588">
        <v>111681.60000000001</v>
      </c>
      <c r="J1588">
        <v>0</v>
      </c>
      <c r="K1588" t="s">
        <v>965</v>
      </c>
      <c r="L1588" t="s">
        <v>220</v>
      </c>
      <c r="N1588" t="s">
        <v>199</v>
      </c>
    </row>
    <row r="1589" spans="1:14" x14ac:dyDescent="0.45">
      <c r="A1589">
        <v>1588</v>
      </c>
      <c r="B1589">
        <v>602</v>
      </c>
      <c r="C1589" t="s">
        <v>72</v>
      </c>
      <c r="D1589" t="s">
        <v>964</v>
      </c>
      <c r="E1589">
        <v>4010</v>
      </c>
      <c r="F1589" t="s">
        <v>101</v>
      </c>
      <c r="G1589" t="s">
        <v>99</v>
      </c>
      <c r="H1589" t="s">
        <v>218</v>
      </c>
      <c r="I1589">
        <v>0</v>
      </c>
      <c r="J1589">
        <v>46906.27</v>
      </c>
      <c r="K1589" t="s">
        <v>965</v>
      </c>
      <c r="L1589" t="s">
        <v>220</v>
      </c>
      <c r="N1589" t="s">
        <v>199</v>
      </c>
    </row>
    <row r="1590" spans="1:14" x14ac:dyDescent="0.45">
      <c r="A1590">
        <v>1589</v>
      </c>
      <c r="B1590">
        <v>602</v>
      </c>
      <c r="C1590" t="s">
        <v>72</v>
      </c>
      <c r="D1590" t="s">
        <v>964</v>
      </c>
      <c r="E1590">
        <v>4020</v>
      </c>
      <c r="F1590" t="s">
        <v>103</v>
      </c>
      <c r="G1590" t="s">
        <v>99</v>
      </c>
      <c r="H1590" t="s">
        <v>218</v>
      </c>
      <c r="I1590">
        <v>0</v>
      </c>
      <c r="J1590">
        <v>36854.93</v>
      </c>
      <c r="K1590" t="s">
        <v>965</v>
      </c>
      <c r="L1590" t="s">
        <v>220</v>
      </c>
      <c r="N1590" t="s">
        <v>199</v>
      </c>
    </row>
    <row r="1591" spans="1:14" x14ac:dyDescent="0.45">
      <c r="A1591">
        <v>1590</v>
      </c>
      <c r="B1591">
        <v>602</v>
      </c>
      <c r="C1591" t="s">
        <v>72</v>
      </c>
      <c r="D1591" t="s">
        <v>964</v>
      </c>
      <c r="E1591">
        <v>4030</v>
      </c>
      <c r="F1591" t="s">
        <v>105</v>
      </c>
      <c r="G1591" t="s">
        <v>99</v>
      </c>
      <c r="H1591" t="s">
        <v>218</v>
      </c>
      <c r="I1591">
        <v>0</v>
      </c>
      <c r="J1591">
        <v>27920.400000000001</v>
      </c>
      <c r="K1591" t="s">
        <v>965</v>
      </c>
      <c r="L1591" t="s">
        <v>220</v>
      </c>
      <c r="N1591" t="s">
        <v>199</v>
      </c>
    </row>
    <row r="1592" spans="1:14" x14ac:dyDescent="0.45">
      <c r="A1592">
        <v>1591</v>
      </c>
      <c r="B1592">
        <v>603</v>
      </c>
      <c r="C1592" t="s">
        <v>72</v>
      </c>
      <c r="D1592" t="s">
        <v>966</v>
      </c>
      <c r="E1592">
        <v>1000</v>
      </c>
      <c r="F1592" t="s">
        <v>77</v>
      </c>
      <c r="G1592" t="s">
        <v>78</v>
      </c>
      <c r="H1592" t="s">
        <v>218</v>
      </c>
      <c r="I1592">
        <v>100677.8</v>
      </c>
      <c r="J1592">
        <v>0</v>
      </c>
      <c r="K1592" t="s">
        <v>967</v>
      </c>
      <c r="L1592" t="s">
        <v>223</v>
      </c>
      <c r="N1592" t="s">
        <v>199</v>
      </c>
    </row>
    <row r="1593" spans="1:14" x14ac:dyDescent="0.45">
      <c r="A1593">
        <v>1592</v>
      </c>
      <c r="B1593">
        <v>603</v>
      </c>
      <c r="C1593" t="s">
        <v>72</v>
      </c>
      <c r="D1593" t="s">
        <v>966</v>
      </c>
      <c r="E1593">
        <v>1100</v>
      </c>
      <c r="F1593" t="s">
        <v>80</v>
      </c>
      <c r="G1593" t="s">
        <v>78</v>
      </c>
      <c r="H1593" t="s">
        <v>218</v>
      </c>
      <c r="I1593">
        <v>0</v>
      </c>
      <c r="J1593">
        <v>100677.8</v>
      </c>
      <c r="K1593" t="s">
        <v>967</v>
      </c>
      <c r="L1593" t="s">
        <v>223</v>
      </c>
      <c r="N1593" t="s">
        <v>199</v>
      </c>
    </row>
    <row r="1594" spans="1:14" x14ac:dyDescent="0.45">
      <c r="A1594">
        <v>1593</v>
      </c>
      <c r="B1594">
        <v>604</v>
      </c>
      <c r="C1594" t="s">
        <v>72</v>
      </c>
      <c r="D1594" t="s">
        <v>968</v>
      </c>
      <c r="E1594">
        <v>5010</v>
      </c>
      <c r="F1594" t="s">
        <v>112</v>
      </c>
      <c r="G1594" t="s">
        <v>110</v>
      </c>
      <c r="H1594" t="s">
        <v>218</v>
      </c>
      <c r="I1594">
        <v>6342.79</v>
      </c>
      <c r="J1594">
        <v>0</v>
      </c>
      <c r="K1594" t="s">
        <v>969</v>
      </c>
      <c r="L1594" t="s">
        <v>226</v>
      </c>
      <c r="N1594" t="s">
        <v>199</v>
      </c>
    </row>
    <row r="1595" spans="1:14" x14ac:dyDescent="0.45">
      <c r="A1595">
        <v>1594</v>
      </c>
      <c r="B1595">
        <v>604</v>
      </c>
      <c r="C1595" t="s">
        <v>72</v>
      </c>
      <c r="D1595" t="s">
        <v>968</v>
      </c>
      <c r="E1595">
        <v>5020</v>
      </c>
      <c r="F1595" t="s">
        <v>114</v>
      </c>
      <c r="G1595" t="s">
        <v>110</v>
      </c>
      <c r="H1595" t="s">
        <v>218</v>
      </c>
      <c r="I1595">
        <v>5189.55</v>
      </c>
      <c r="J1595">
        <v>0</v>
      </c>
      <c r="K1595" t="s">
        <v>969</v>
      </c>
      <c r="L1595" t="s">
        <v>226</v>
      </c>
      <c r="N1595" t="s">
        <v>199</v>
      </c>
    </row>
    <row r="1596" spans="1:14" x14ac:dyDescent="0.45">
      <c r="A1596">
        <v>1595</v>
      </c>
      <c r="B1596">
        <v>604</v>
      </c>
      <c r="C1596" t="s">
        <v>72</v>
      </c>
      <c r="D1596" t="s">
        <v>968</v>
      </c>
      <c r="E1596">
        <v>1000</v>
      </c>
      <c r="F1596" t="s">
        <v>77</v>
      </c>
      <c r="G1596" t="s">
        <v>78</v>
      </c>
      <c r="H1596" t="s">
        <v>218</v>
      </c>
      <c r="I1596">
        <v>0</v>
      </c>
      <c r="J1596">
        <v>8072.64</v>
      </c>
      <c r="K1596" t="s">
        <v>969</v>
      </c>
      <c r="L1596" t="s">
        <v>226</v>
      </c>
      <c r="N1596" t="s">
        <v>199</v>
      </c>
    </row>
    <row r="1597" spans="1:14" x14ac:dyDescent="0.45">
      <c r="A1597">
        <v>1596</v>
      </c>
      <c r="B1597">
        <v>604</v>
      </c>
      <c r="C1597" t="s">
        <v>72</v>
      </c>
      <c r="D1597" t="s">
        <v>968</v>
      </c>
      <c r="E1597">
        <v>2000</v>
      </c>
      <c r="F1597" t="s">
        <v>88</v>
      </c>
      <c r="G1597" t="s">
        <v>89</v>
      </c>
      <c r="H1597" t="s">
        <v>218</v>
      </c>
      <c r="I1597">
        <v>0</v>
      </c>
      <c r="J1597">
        <v>3459.7</v>
      </c>
      <c r="K1597" t="s">
        <v>969</v>
      </c>
      <c r="L1597" t="s">
        <v>226</v>
      </c>
      <c r="N1597" t="s">
        <v>199</v>
      </c>
    </row>
    <row r="1598" spans="1:14" x14ac:dyDescent="0.45">
      <c r="A1598">
        <v>1597</v>
      </c>
      <c r="B1598">
        <v>605</v>
      </c>
      <c r="C1598" t="s">
        <v>72</v>
      </c>
      <c r="D1598" t="s">
        <v>970</v>
      </c>
      <c r="E1598">
        <v>6010</v>
      </c>
      <c r="F1598" t="s">
        <v>119</v>
      </c>
      <c r="G1598" t="s">
        <v>117</v>
      </c>
      <c r="H1598" t="s">
        <v>218</v>
      </c>
      <c r="I1598">
        <v>48872</v>
      </c>
      <c r="J1598">
        <v>0</v>
      </c>
      <c r="K1598" t="s">
        <v>971</v>
      </c>
      <c r="L1598" t="s">
        <v>229</v>
      </c>
      <c r="N1598" t="s">
        <v>199</v>
      </c>
    </row>
    <row r="1599" spans="1:14" x14ac:dyDescent="0.45">
      <c r="A1599">
        <v>1598</v>
      </c>
      <c r="B1599">
        <v>605</v>
      </c>
      <c r="C1599" t="s">
        <v>72</v>
      </c>
      <c r="D1599" t="s">
        <v>970</v>
      </c>
      <c r="E1599">
        <v>6020</v>
      </c>
      <c r="F1599" t="s">
        <v>121</v>
      </c>
      <c r="G1599" t="s">
        <v>117</v>
      </c>
      <c r="H1599" t="s">
        <v>218</v>
      </c>
      <c r="I1599">
        <v>6842.08</v>
      </c>
      <c r="J1599">
        <v>0</v>
      </c>
      <c r="K1599" t="s">
        <v>971</v>
      </c>
      <c r="L1599" t="s">
        <v>229</v>
      </c>
      <c r="N1599" t="s">
        <v>199</v>
      </c>
    </row>
    <row r="1600" spans="1:14" x14ac:dyDescent="0.45">
      <c r="A1600">
        <v>1599</v>
      </c>
      <c r="B1600">
        <v>605</v>
      </c>
      <c r="C1600" t="s">
        <v>72</v>
      </c>
      <c r="D1600" t="s">
        <v>970</v>
      </c>
      <c r="E1600">
        <v>1000</v>
      </c>
      <c r="F1600" t="s">
        <v>77</v>
      </c>
      <c r="G1600" t="s">
        <v>78</v>
      </c>
      <c r="H1600" t="s">
        <v>218</v>
      </c>
      <c r="I1600">
        <v>0</v>
      </c>
      <c r="J1600">
        <v>55657.99</v>
      </c>
      <c r="K1600" t="s">
        <v>971</v>
      </c>
      <c r="L1600" t="s">
        <v>229</v>
      </c>
      <c r="N1600" t="s">
        <v>199</v>
      </c>
    </row>
    <row r="1601" spans="1:14" x14ac:dyDescent="0.45">
      <c r="A1601">
        <v>1600</v>
      </c>
      <c r="B1601">
        <v>605</v>
      </c>
      <c r="C1601" t="s">
        <v>72</v>
      </c>
      <c r="D1601" t="s">
        <v>970</v>
      </c>
      <c r="E1601">
        <v>2100</v>
      </c>
      <c r="F1601" t="s">
        <v>91</v>
      </c>
      <c r="G1601" t="s">
        <v>89</v>
      </c>
      <c r="H1601" t="s">
        <v>218</v>
      </c>
      <c r="I1601">
        <v>0</v>
      </c>
      <c r="J1601">
        <v>5571.41</v>
      </c>
      <c r="K1601" t="s">
        <v>971</v>
      </c>
      <c r="L1601" t="s">
        <v>229</v>
      </c>
      <c r="N1601" t="s">
        <v>199</v>
      </c>
    </row>
    <row r="1602" spans="1:14" x14ac:dyDescent="0.45">
      <c r="A1602">
        <v>1601</v>
      </c>
      <c r="B1602">
        <v>605</v>
      </c>
      <c r="C1602" t="s">
        <v>72</v>
      </c>
      <c r="D1602" t="s">
        <v>970</v>
      </c>
      <c r="E1602">
        <v>2100</v>
      </c>
      <c r="F1602" t="s">
        <v>91</v>
      </c>
      <c r="G1602" t="s">
        <v>89</v>
      </c>
      <c r="H1602" t="s">
        <v>218</v>
      </c>
      <c r="I1602">
        <v>5515.32</v>
      </c>
      <c r="J1602">
        <v>0</v>
      </c>
      <c r="K1602" t="s">
        <v>971</v>
      </c>
      <c r="L1602" t="s">
        <v>229</v>
      </c>
      <c r="N1602" t="s">
        <v>199</v>
      </c>
    </row>
    <row r="1603" spans="1:14" x14ac:dyDescent="0.45">
      <c r="A1603">
        <v>1602</v>
      </c>
      <c r="B1603">
        <v>606</v>
      </c>
      <c r="C1603" t="s">
        <v>72</v>
      </c>
      <c r="D1603" t="s">
        <v>972</v>
      </c>
      <c r="E1603">
        <v>6030</v>
      </c>
      <c r="F1603" t="s">
        <v>123</v>
      </c>
      <c r="G1603" t="s">
        <v>117</v>
      </c>
      <c r="H1603" t="s">
        <v>218</v>
      </c>
      <c r="I1603">
        <v>7344</v>
      </c>
      <c r="J1603">
        <v>0</v>
      </c>
      <c r="K1603" t="s">
        <v>973</v>
      </c>
      <c r="L1603" t="s">
        <v>232</v>
      </c>
      <c r="N1603" t="s">
        <v>199</v>
      </c>
    </row>
    <row r="1604" spans="1:14" x14ac:dyDescent="0.45">
      <c r="A1604">
        <v>1603</v>
      </c>
      <c r="B1604">
        <v>606</v>
      </c>
      <c r="C1604" t="s">
        <v>72</v>
      </c>
      <c r="D1604" t="s">
        <v>972</v>
      </c>
      <c r="E1604">
        <v>1000</v>
      </c>
      <c r="F1604" t="s">
        <v>77</v>
      </c>
      <c r="G1604" t="s">
        <v>78</v>
      </c>
      <c r="H1604" t="s">
        <v>218</v>
      </c>
      <c r="I1604">
        <v>0</v>
      </c>
      <c r="J1604">
        <v>7344</v>
      </c>
      <c r="K1604" t="s">
        <v>973</v>
      </c>
      <c r="L1604" t="s">
        <v>232</v>
      </c>
      <c r="N1604" t="s">
        <v>199</v>
      </c>
    </row>
    <row r="1605" spans="1:14" x14ac:dyDescent="0.45">
      <c r="A1605">
        <v>1604</v>
      </c>
      <c r="B1605">
        <v>607</v>
      </c>
      <c r="C1605" t="s">
        <v>72</v>
      </c>
      <c r="D1605" t="s">
        <v>974</v>
      </c>
      <c r="E1605">
        <v>6040</v>
      </c>
      <c r="F1605" t="s">
        <v>125</v>
      </c>
      <c r="G1605" t="s">
        <v>117</v>
      </c>
      <c r="H1605" t="s">
        <v>218</v>
      </c>
      <c r="I1605">
        <v>3258.87</v>
      </c>
      <c r="J1605">
        <v>0</v>
      </c>
      <c r="K1605" t="s">
        <v>975</v>
      </c>
      <c r="L1605" t="s">
        <v>226</v>
      </c>
      <c r="N1605" t="s">
        <v>199</v>
      </c>
    </row>
    <row r="1606" spans="1:14" x14ac:dyDescent="0.45">
      <c r="A1606">
        <v>1605</v>
      </c>
      <c r="B1606">
        <v>607</v>
      </c>
      <c r="C1606" t="s">
        <v>72</v>
      </c>
      <c r="D1606" t="s">
        <v>974</v>
      </c>
      <c r="E1606">
        <v>1000</v>
      </c>
      <c r="F1606" t="s">
        <v>77</v>
      </c>
      <c r="G1606" t="s">
        <v>78</v>
      </c>
      <c r="H1606" t="s">
        <v>218</v>
      </c>
      <c r="I1606">
        <v>0</v>
      </c>
      <c r="J1606">
        <v>2607.1</v>
      </c>
      <c r="K1606" t="s">
        <v>975</v>
      </c>
      <c r="L1606" t="s">
        <v>226</v>
      </c>
      <c r="N1606" t="s">
        <v>199</v>
      </c>
    </row>
    <row r="1607" spans="1:14" x14ac:dyDescent="0.45">
      <c r="A1607">
        <v>1606</v>
      </c>
      <c r="B1607">
        <v>607</v>
      </c>
      <c r="C1607" t="s">
        <v>72</v>
      </c>
      <c r="D1607" t="s">
        <v>974</v>
      </c>
      <c r="E1607">
        <v>2000</v>
      </c>
      <c r="F1607" t="s">
        <v>88</v>
      </c>
      <c r="G1607" t="s">
        <v>89</v>
      </c>
      <c r="H1607" t="s">
        <v>218</v>
      </c>
      <c r="I1607">
        <v>0</v>
      </c>
      <c r="J1607">
        <v>651.77</v>
      </c>
      <c r="K1607" t="s">
        <v>975</v>
      </c>
      <c r="L1607" t="s">
        <v>226</v>
      </c>
      <c r="N1607" t="s">
        <v>199</v>
      </c>
    </row>
    <row r="1608" spans="1:14" x14ac:dyDescent="0.45">
      <c r="A1608">
        <v>1607</v>
      </c>
      <c r="B1608">
        <v>608</v>
      </c>
      <c r="C1608" t="s">
        <v>72</v>
      </c>
      <c r="D1608" t="s">
        <v>972</v>
      </c>
      <c r="E1608">
        <v>6050</v>
      </c>
      <c r="F1608" t="s">
        <v>127</v>
      </c>
      <c r="G1608" t="s">
        <v>117</v>
      </c>
      <c r="H1608" t="s">
        <v>218</v>
      </c>
      <c r="I1608">
        <v>1450</v>
      </c>
      <c r="J1608">
        <v>0</v>
      </c>
      <c r="K1608" t="s">
        <v>976</v>
      </c>
      <c r="L1608" t="s">
        <v>236</v>
      </c>
      <c r="N1608" t="s">
        <v>199</v>
      </c>
    </row>
    <row r="1609" spans="1:14" x14ac:dyDescent="0.45">
      <c r="A1609">
        <v>1608</v>
      </c>
      <c r="B1609">
        <v>608</v>
      </c>
      <c r="C1609" t="s">
        <v>72</v>
      </c>
      <c r="D1609" t="s">
        <v>972</v>
      </c>
      <c r="E1609">
        <v>1200</v>
      </c>
      <c r="F1609" t="s">
        <v>82</v>
      </c>
      <c r="G1609" t="s">
        <v>78</v>
      </c>
      <c r="H1609" t="s">
        <v>218</v>
      </c>
      <c r="I1609">
        <v>0</v>
      </c>
      <c r="J1609">
        <v>1450</v>
      </c>
      <c r="K1609" t="s">
        <v>976</v>
      </c>
      <c r="L1609" t="s">
        <v>236</v>
      </c>
      <c r="N1609" t="s">
        <v>199</v>
      </c>
    </row>
    <row r="1610" spans="1:14" x14ac:dyDescent="0.45">
      <c r="A1610">
        <v>1609</v>
      </c>
      <c r="B1610">
        <v>609</v>
      </c>
      <c r="C1610" t="s">
        <v>72</v>
      </c>
      <c r="D1610" t="s">
        <v>977</v>
      </c>
      <c r="E1610">
        <v>6060</v>
      </c>
      <c r="F1610" t="s">
        <v>129</v>
      </c>
      <c r="G1610" t="s">
        <v>117</v>
      </c>
      <c r="H1610" t="s">
        <v>218</v>
      </c>
      <c r="I1610">
        <v>2436</v>
      </c>
      <c r="J1610">
        <v>0</v>
      </c>
      <c r="K1610" t="s">
        <v>978</v>
      </c>
      <c r="L1610" t="s">
        <v>232</v>
      </c>
      <c r="N1610" t="s">
        <v>199</v>
      </c>
    </row>
    <row r="1611" spans="1:14" x14ac:dyDescent="0.45">
      <c r="A1611">
        <v>1610</v>
      </c>
      <c r="B1611">
        <v>609</v>
      </c>
      <c r="C1611" t="s">
        <v>72</v>
      </c>
      <c r="D1611" t="s">
        <v>977</v>
      </c>
      <c r="E1611">
        <v>1000</v>
      </c>
      <c r="F1611" t="s">
        <v>77</v>
      </c>
      <c r="G1611" t="s">
        <v>78</v>
      </c>
      <c r="H1611" t="s">
        <v>218</v>
      </c>
      <c r="I1611">
        <v>0</v>
      </c>
      <c r="J1611">
        <v>2436</v>
      </c>
      <c r="K1611" t="s">
        <v>978</v>
      </c>
      <c r="L1611" t="s">
        <v>232</v>
      </c>
      <c r="N1611" t="s">
        <v>199</v>
      </c>
    </row>
    <row r="1612" spans="1:14" x14ac:dyDescent="0.45">
      <c r="A1612">
        <v>1611</v>
      </c>
      <c r="B1612">
        <v>610</v>
      </c>
      <c r="C1612" t="s">
        <v>72</v>
      </c>
      <c r="D1612" t="s">
        <v>979</v>
      </c>
      <c r="E1612">
        <v>7000</v>
      </c>
      <c r="F1612" t="s">
        <v>133</v>
      </c>
      <c r="G1612" t="s">
        <v>117</v>
      </c>
      <c r="H1612" t="s">
        <v>218</v>
      </c>
      <c r="I1612">
        <v>1100</v>
      </c>
      <c r="J1612">
        <v>0</v>
      </c>
      <c r="K1612" t="s">
        <v>980</v>
      </c>
      <c r="L1612" t="s">
        <v>241</v>
      </c>
      <c r="N1612" t="s">
        <v>199</v>
      </c>
    </row>
    <row r="1613" spans="1:14" x14ac:dyDescent="0.45">
      <c r="A1613">
        <v>1612</v>
      </c>
      <c r="B1613">
        <v>610</v>
      </c>
      <c r="C1613" t="s">
        <v>72</v>
      </c>
      <c r="D1613" t="s">
        <v>979</v>
      </c>
      <c r="E1613">
        <v>1500</v>
      </c>
      <c r="F1613" t="s">
        <v>86</v>
      </c>
      <c r="G1613" t="s">
        <v>78</v>
      </c>
      <c r="H1613" t="s">
        <v>218</v>
      </c>
      <c r="I1613">
        <v>0</v>
      </c>
      <c r="J1613">
        <v>1100</v>
      </c>
      <c r="K1613" t="s">
        <v>980</v>
      </c>
      <c r="L1613" t="s">
        <v>241</v>
      </c>
      <c r="N1613" t="s">
        <v>199</v>
      </c>
    </row>
    <row r="1614" spans="1:14" x14ac:dyDescent="0.45">
      <c r="A1614">
        <v>1613</v>
      </c>
      <c r="B1614">
        <v>611</v>
      </c>
      <c r="C1614" t="s">
        <v>72</v>
      </c>
      <c r="D1614" t="s">
        <v>981</v>
      </c>
      <c r="E1614">
        <v>2000</v>
      </c>
      <c r="F1614" t="s">
        <v>88</v>
      </c>
      <c r="G1614" t="s">
        <v>89</v>
      </c>
      <c r="H1614" t="s">
        <v>218</v>
      </c>
      <c r="I1614">
        <v>4324.2299999999996</v>
      </c>
      <c r="J1614">
        <v>0</v>
      </c>
      <c r="K1614" t="s">
        <v>982</v>
      </c>
      <c r="L1614" t="s">
        <v>232</v>
      </c>
      <c r="N1614" t="s">
        <v>199</v>
      </c>
    </row>
    <row r="1615" spans="1:14" x14ac:dyDescent="0.45">
      <c r="A1615">
        <v>1614</v>
      </c>
      <c r="B1615">
        <v>611</v>
      </c>
      <c r="C1615" t="s">
        <v>72</v>
      </c>
      <c r="D1615" t="s">
        <v>981</v>
      </c>
      <c r="E1615">
        <v>1000</v>
      </c>
      <c r="F1615" t="s">
        <v>77</v>
      </c>
      <c r="G1615" t="s">
        <v>78</v>
      </c>
      <c r="H1615" t="s">
        <v>218</v>
      </c>
      <c r="I1615">
        <v>0</v>
      </c>
      <c r="J1615">
        <v>4324.2299999999996</v>
      </c>
      <c r="K1615" t="s">
        <v>982</v>
      </c>
      <c r="L1615" t="s">
        <v>232</v>
      </c>
      <c r="N1615" t="s">
        <v>199</v>
      </c>
    </row>
    <row r="1616" spans="1:14" x14ac:dyDescent="0.45">
      <c r="A1616">
        <v>1615</v>
      </c>
      <c r="B1616">
        <v>612</v>
      </c>
      <c r="C1616" t="s">
        <v>73</v>
      </c>
      <c r="D1616" t="s">
        <v>964</v>
      </c>
      <c r="E1616">
        <v>1100</v>
      </c>
      <c r="F1616" t="s">
        <v>80</v>
      </c>
      <c r="G1616" t="s">
        <v>78</v>
      </c>
      <c r="H1616" t="s">
        <v>218</v>
      </c>
      <c r="I1616">
        <v>66861.5</v>
      </c>
      <c r="J1616">
        <v>0</v>
      </c>
      <c r="K1616" t="s">
        <v>983</v>
      </c>
      <c r="L1616" t="s">
        <v>220</v>
      </c>
      <c r="N1616" t="s">
        <v>199</v>
      </c>
    </row>
    <row r="1617" spans="1:14" x14ac:dyDescent="0.45">
      <c r="A1617">
        <v>1616</v>
      </c>
      <c r="B1617">
        <v>612</v>
      </c>
      <c r="C1617" t="s">
        <v>73</v>
      </c>
      <c r="D1617" t="s">
        <v>964</v>
      </c>
      <c r="E1617">
        <v>4010</v>
      </c>
      <c r="F1617" t="s">
        <v>101</v>
      </c>
      <c r="G1617" t="s">
        <v>99</v>
      </c>
      <c r="H1617" t="s">
        <v>218</v>
      </c>
      <c r="I1617">
        <v>0</v>
      </c>
      <c r="J1617">
        <v>28081.83</v>
      </c>
      <c r="K1617" t="s">
        <v>983</v>
      </c>
      <c r="L1617" t="s">
        <v>220</v>
      </c>
      <c r="N1617" t="s">
        <v>199</v>
      </c>
    </row>
    <row r="1618" spans="1:14" x14ac:dyDescent="0.45">
      <c r="A1618">
        <v>1617</v>
      </c>
      <c r="B1618">
        <v>612</v>
      </c>
      <c r="C1618" t="s">
        <v>73</v>
      </c>
      <c r="D1618" t="s">
        <v>964</v>
      </c>
      <c r="E1618">
        <v>4020</v>
      </c>
      <c r="F1618" t="s">
        <v>103</v>
      </c>
      <c r="G1618" t="s">
        <v>99</v>
      </c>
      <c r="H1618" t="s">
        <v>218</v>
      </c>
      <c r="I1618">
        <v>0</v>
      </c>
      <c r="J1618">
        <v>22064.3</v>
      </c>
      <c r="K1618" t="s">
        <v>983</v>
      </c>
      <c r="L1618" t="s">
        <v>220</v>
      </c>
      <c r="N1618" t="s">
        <v>199</v>
      </c>
    </row>
    <row r="1619" spans="1:14" x14ac:dyDescent="0.45">
      <c r="A1619">
        <v>1618</v>
      </c>
      <c r="B1619">
        <v>612</v>
      </c>
      <c r="C1619" t="s">
        <v>73</v>
      </c>
      <c r="D1619" t="s">
        <v>964</v>
      </c>
      <c r="E1619">
        <v>4030</v>
      </c>
      <c r="F1619" t="s">
        <v>105</v>
      </c>
      <c r="G1619" t="s">
        <v>99</v>
      </c>
      <c r="H1619" t="s">
        <v>218</v>
      </c>
      <c r="I1619">
        <v>0</v>
      </c>
      <c r="J1619">
        <v>16715.37</v>
      </c>
      <c r="K1619" t="s">
        <v>983</v>
      </c>
      <c r="L1619" t="s">
        <v>220</v>
      </c>
      <c r="N1619" t="s">
        <v>199</v>
      </c>
    </row>
    <row r="1620" spans="1:14" x14ac:dyDescent="0.45">
      <c r="A1620">
        <v>1619</v>
      </c>
      <c r="B1620">
        <v>613</v>
      </c>
      <c r="C1620" t="s">
        <v>73</v>
      </c>
      <c r="D1620" t="s">
        <v>966</v>
      </c>
      <c r="E1620">
        <v>1000</v>
      </c>
      <c r="F1620" t="s">
        <v>77</v>
      </c>
      <c r="G1620" t="s">
        <v>78</v>
      </c>
      <c r="H1620" t="s">
        <v>218</v>
      </c>
      <c r="I1620">
        <v>59972.73</v>
      </c>
      <c r="J1620">
        <v>0</v>
      </c>
      <c r="K1620" t="s">
        <v>984</v>
      </c>
      <c r="L1620" t="s">
        <v>223</v>
      </c>
      <c r="N1620" t="s">
        <v>199</v>
      </c>
    </row>
    <row r="1621" spans="1:14" x14ac:dyDescent="0.45">
      <c r="A1621">
        <v>1620</v>
      </c>
      <c r="B1621">
        <v>613</v>
      </c>
      <c r="C1621" t="s">
        <v>73</v>
      </c>
      <c r="D1621" t="s">
        <v>966</v>
      </c>
      <c r="E1621">
        <v>1100</v>
      </c>
      <c r="F1621" t="s">
        <v>80</v>
      </c>
      <c r="G1621" t="s">
        <v>78</v>
      </c>
      <c r="H1621" t="s">
        <v>218</v>
      </c>
      <c r="I1621">
        <v>0</v>
      </c>
      <c r="J1621">
        <v>59972.73</v>
      </c>
      <c r="K1621" t="s">
        <v>984</v>
      </c>
      <c r="L1621" t="s">
        <v>223</v>
      </c>
      <c r="N1621" t="s">
        <v>199</v>
      </c>
    </row>
    <row r="1622" spans="1:14" x14ac:dyDescent="0.45">
      <c r="A1622">
        <v>1621</v>
      </c>
      <c r="B1622">
        <v>614</v>
      </c>
      <c r="C1622" t="s">
        <v>73</v>
      </c>
      <c r="D1622" t="s">
        <v>968</v>
      </c>
      <c r="E1622">
        <v>5010</v>
      </c>
      <c r="F1622" t="s">
        <v>112</v>
      </c>
      <c r="G1622" t="s">
        <v>110</v>
      </c>
      <c r="H1622" t="s">
        <v>218</v>
      </c>
      <c r="I1622">
        <v>3797.3</v>
      </c>
      <c r="J1622">
        <v>0</v>
      </c>
      <c r="K1622" t="s">
        <v>985</v>
      </c>
      <c r="L1622" t="s">
        <v>226</v>
      </c>
      <c r="N1622" t="s">
        <v>199</v>
      </c>
    </row>
    <row r="1623" spans="1:14" x14ac:dyDescent="0.45">
      <c r="A1623">
        <v>1622</v>
      </c>
      <c r="B1623">
        <v>614</v>
      </c>
      <c r="C1623" t="s">
        <v>73</v>
      </c>
      <c r="D1623" t="s">
        <v>968</v>
      </c>
      <c r="E1623">
        <v>5020</v>
      </c>
      <c r="F1623" t="s">
        <v>114</v>
      </c>
      <c r="G1623" t="s">
        <v>110</v>
      </c>
      <c r="H1623" t="s">
        <v>218</v>
      </c>
      <c r="I1623">
        <v>3106.88</v>
      </c>
      <c r="J1623">
        <v>0</v>
      </c>
      <c r="K1623" t="s">
        <v>985</v>
      </c>
      <c r="L1623" t="s">
        <v>226</v>
      </c>
      <c r="N1623" t="s">
        <v>199</v>
      </c>
    </row>
    <row r="1624" spans="1:14" x14ac:dyDescent="0.45">
      <c r="A1624">
        <v>1623</v>
      </c>
      <c r="B1624">
        <v>614</v>
      </c>
      <c r="C1624" t="s">
        <v>73</v>
      </c>
      <c r="D1624" t="s">
        <v>968</v>
      </c>
      <c r="E1624">
        <v>1000</v>
      </c>
      <c r="F1624" t="s">
        <v>77</v>
      </c>
      <c r="G1624" t="s">
        <v>78</v>
      </c>
      <c r="H1624" t="s">
        <v>218</v>
      </c>
      <c r="I1624">
        <v>0</v>
      </c>
      <c r="J1624">
        <v>4832.93</v>
      </c>
      <c r="K1624" t="s">
        <v>985</v>
      </c>
      <c r="L1624" t="s">
        <v>226</v>
      </c>
      <c r="N1624" t="s">
        <v>199</v>
      </c>
    </row>
    <row r="1625" spans="1:14" x14ac:dyDescent="0.45">
      <c r="A1625">
        <v>1624</v>
      </c>
      <c r="B1625">
        <v>614</v>
      </c>
      <c r="C1625" t="s">
        <v>73</v>
      </c>
      <c r="D1625" t="s">
        <v>968</v>
      </c>
      <c r="E1625">
        <v>2000</v>
      </c>
      <c r="F1625" t="s">
        <v>88</v>
      </c>
      <c r="G1625" t="s">
        <v>89</v>
      </c>
      <c r="H1625" t="s">
        <v>218</v>
      </c>
      <c r="I1625">
        <v>0</v>
      </c>
      <c r="J1625">
        <v>2071.25</v>
      </c>
      <c r="K1625" t="s">
        <v>985</v>
      </c>
      <c r="L1625" t="s">
        <v>226</v>
      </c>
      <c r="N1625" t="s">
        <v>199</v>
      </c>
    </row>
    <row r="1626" spans="1:14" x14ac:dyDescent="0.45">
      <c r="A1626">
        <v>1625</v>
      </c>
      <c r="B1626">
        <v>615</v>
      </c>
      <c r="C1626" t="s">
        <v>73</v>
      </c>
      <c r="D1626" t="s">
        <v>970</v>
      </c>
      <c r="E1626">
        <v>6010</v>
      </c>
      <c r="F1626" t="s">
        <v>119</v>
      </c>
      <c r="G1626" t="s">
        <v>117</v>
      </c>
      <c r="H1626" t="s">
        <v>218</v>
      </c>
      <c r="I1626">
        <v>30300.639999999999</v>
      </c>
      <c r="J1626">
        <v>0</v>
      </c>
      <c r="K1626" t="s">
        <v>986</v>
      </c>
      <c r="L1626" t="s">
        <v>229</v>
      </c>
      <c r="N1626" t="s">
        <v>199</v>
      </c>
    </row>
    <row r="1627" spans="1:14" x14ac:dyDescent="0.45">
      <c r="A1627">
        <v>1626</v>
      </c>
      <c r="B1627">
        <v>615</v>
      </c>
      <c r="C1627" t="s">
        <v>73</v>
      </c>
      <c r="D1627" t="s">
        <v>970</v>
      </c>
      <c r="E1627">
        <v>6020</v>
      </c>
      <c r="F1627" t="s">
        <v>121</v>
      </c>
      <c r="G1627" t="s">
        <v>117</v>
      </c>
      <c r="H1627" t="s">
        <v>218</v>
      </c>
      <c r="I1627">
        <v>4242.09</v>
      </c>
      <c r="J1627">
        <v>0</v>
      </c>
      <c r="K1627" t="s">
        <v>986</v>
      </c>
      <c r="L1627" t="s">
        <v>229</v>
      </c>
      <c r="N1627" t="s">
        <v>199</v>
      </c>
    </row>
    <row r="1628" spans="1:14" x14ac:dyDescent="0.45">
      <c r="A1628">
        <v>1627</v>
      </c>
      <c r="B1628">
        <v>615</v>
      </c>
      <c r="C1628" t="s">
        <v>73</v>
      </c>
      <c r="D1628" t="s">
        <v>970</v>
      </c>
      <c r="E1628">
        <v>1000</v>
      </c>
      <c r="F1628" t="s">
        <v>77</v>
      </c>
      <c r="G1628" t="s">
        <v>78</v>
      </c>
      <c r="H1628" t="s">
        <v>218</v>
      </c>
      <c r="I1628">
        <v>0</v>
      </c>
      <c r="J1628">
        <v>34507.96</v>
      </c>
      <c r="K1628" t="s">
        <v>986</v>
      </c>
      <c r="L1628" t="s">
        <v>229</v>
      </c>
      <c r="N1628" t="s">
        <v>199</v>
      </c>
    </row>
    <row r="1629" spans="1:14" x14ac:dyDescent="0.45">
      <c r="A1629">
        <v>1628</v>
      </c>
      <c r="B1629">
        <v>615</v>
      </c>
      <c r="C1629" t="s">
        <v>73</v>
      </c>
      <c r="D1629" t="s">
        <v>970</v>
      </c>
      <c r="E1629">
        <v>2100</v>
      </c>
      <c r="F1629" t="s">
        <v>91</v>
      </c>
      <c r="G1629" t="s">
        <v>89</v>
      </c>
      <c r="H1629" t="s">
        <v>218</v>
      </c>
      <c r="I1629">
        <v>0</v>
      </c>
      <c r="J1629">
        <v>3454.27</v>
      </c>
      <c r="K1629" t="s">
        <v>986</v>
      </c>
      <c r="L1629" t="s">
        <v>229</v>
      </c>
      <c r="N1629" t="s">
        <v>199</v>
      </c>
    </row>
    <row r="1630" spans="1:14" x14ac:dyDescent="0.45">
      <c r="A1630">
        <v>1629</v>
      </c>
      <c r="B1630">
        <v>615</v>
      </c>
      <c r="C1630" t="s">
        <v>73</v>
      </c>
      <c r="D1630" t="s">
        <v>970</v>
      </c>
      <c r="E1630">
        <v>2100</v>
      </c>
      <c r="F1630" t="s">
        <v>91</v>
      </c>
      <c r="G1630" t="s">
        <v>89</v>
      </c>
      <c r="H1630" t="s">
        <v>218</v>
      </c>
      <c r="I1630">
        <v>3419.5</v>
      </c>
      <c r="J1630">
        <v>0</v>
      </c>
      <c r="K1630" t="s">
        <v>986</v>
      </c>
      <c r="L1630" t="s">
        <v>229</v>
      </c>
      <c r="N1630" t="s">
        <v>199</v>
      </c>
    </row>
    <row r="1631" spans="1:14" x14ac:dyDescent="0.45">
      <c r="A1631">
        <v>1630</v>
      </c>
      <c r="B1631">
        <v>616</v>
      </c>
      <c r="C1631" t="s">
        <v>73</v>
      </c>
      <c r="D1631" t="s">
        <v>972</v>
      </c>
      <c r="E1631">
        <v>6030</v>
      </c>
      <c r="F1631" t="s">
        <v>123</v>
      </c>
      <c r="G1631" t="s">
        <v>117</v>
      </c>
      <c r="H1631" t="s">
        <v>218</v>
      </c>
      <c r="I1631">
        <v>4553.28</v>
      </c>
      <c r="J1631">
        <v>0</v>
      </c>
      <c r="K1631" t="s">
        <v>987</v>
      </c>
      <c r="L1631" t="s">
        <v>232</v>
      </c>
      <c r="N1631" t="s">
        <v>199</v>
      </c>
    </row>
    <row r="1632" spans="1:14" x14ac:dyDescent="0.45">
      <c r="A1632">
        <v>1631</v>
      </c>
      <c r="B1632">
        <v>616</v>
      </c>
      <c r="C1632" t="s">
        <v>73</v>
      </c>
      <c r="D1632" t="s">
        <v>972</v>
      </c>
      <c r="E1632">
        <v>1000</v>
      </c>
      <c r="F1632" t="s">
        <v>77</v>
      </c>
      <c r="G1632" t="s">
        <v>78</v>
      </c>
      <c r="H1632" t="s">
        <v>218</v>
      </c>
      <c r="I1632">
        <v>0</v>
      </c>
      <c r="J1632">
        <v>4553.28</v>
      </c>
      <c r="K1632" t="s">
        <v>987</v>
      </c>
      <c r="L1632" t="s">
        <v>232</v>
      </c>
      <c r="N1632" t="s">
        <v>199</v>
      </c>
    </row>
    <row r="1633" spans="1:14" x14ac:dyDescent="0.45">
      <c r="A1633">
        <v>1632</v>
      </c>
      <c r="B1633">
        <v>617</v>
      </c>
      <c r="C1633" t="s">
        <v>73</v>
      </c>
      <c r="D1633" t="s">
        <v>974</v>
      </c>
      <c r="E1633">
        <v>6040</v>
      </c>
      <c r="F1633" t="s">
        <v>125</v>
      </c>
      <c r="G1633" t="s">
        <v>117</v>
      </c>
      <c r="H1633" t="s">
        <v>218</v>
      </c>
      <c r="I1633">
        <v>1951.02</v>
      </c>
      <c r="J1633">
        <v>0</v>
      </c>
      <c r="K1633" t="s">
        <v>988</v>
      </c>
      <c r="L1633" t="s">
        <v>226</v>
      </c>
      <c r="N1633" t="s">
        <v>199</v>
      </c>
    </row>
    <row r="1634" spans="1:14" x14ac:dyDescent="0.45">
      <c r="A1634">
        <v>1633</v>
      </c>
      <c r="B1634">
        <v>617</v>
      </c>
      <c r="C1634" t="s">
        <v>73</v>
      </c>
      <c r="D1634" t="s">
        <v>974</v>
      </c>
      <c r="E1634">
        <v>1000</v>
      </c>
      <c r="F1634" t="s">
        <v>77</v>
      </c>
      <c r="G1634" t="s">
        <v>78</v>
      </c>
      <c r="H1634" t="s">
        <v>218</v>
      </c>
      <c r="I1634">
        <v>0</v>
      </c>
      <c r="J1634">
        <v>1560.82</v>
      </c>
      <c r="K1634" t="s">
        <v>988</v>
      </c>
      <c r="L1634" t="s">
        <v>226</v>
      </c>
      <c r="N1634" t="s">
        <v>199</v>
      </c>
    </row>
    <row r="1635" spans="1:14" x14ac:dyDescent="0.45">
      <c r="A1635">
        <v>1634</v>
      </c>
      <c r="B1635">
        <v>617</v>
      </c>
      <c r="C1635" t="s">
        <v>73</v>
      </c>
      <c r="D1635" t="s">
        <v>974</v>
      </c>
      <c r="E1635">
        <v>2000</v>
      </c>
      <c r="F1635" t="s">
        <v>88</v>
      </c>
      <c r="G1635" t="s">
        <v>89</v>
      </c>
      <c r="H1635" t="s">
        <v>218</v>
      </c>
      <c r="I1635">
        <v>0</v>
      </c>
      <c r="J1635">
        <v>390.2</v>
      </c>
      <c r="K1635" t="s">
        <v>988</v>
      </c>
      <c r="L1635" t="s">
        <v>226</v>
      </c>
      <c r="N1635" t="s">
        <v>199</v>
      </c>
    </row>
    <row r="1636" spans="1:14" x14ac:dyDescent="0.45">
      <c r="A1636">
        <v>1635</v>
      </c>
      <c r="B1636">
        <v>618</v>
      </c>
      <c r="C1636" t="s">
        <v>73</v>
      </c>
      <c r="D1636" t="s">
        <v>972</v>
      </c>
      <c r="E1636">
        <v>6050</v>
      </c>
      <c r="F1636" t="s">
        <v>127</v>
      </c>
      <c r="G1636" t="s">
        <v>117</v>
      </c>
      <c r="H1636" t="s">
        <v>218</v>
      </c>
      <c r="I1636">
        <v>899</v>
      </c>
      <c r="J1636">
        <v>0</v>
      </c>
      <c r="K1636" t="s">
        <v>989</v>
      </c>
      <c r="L1636" t="s">
        <v>236</v>
      </c>
      <c r="N1636" t="s">
        <v>199</v>
      </c>
    </row>
    <row r="1637" spans="1:14" x14ac:dyDescent="0.45">
      <c r="A1637">
        <v>1636</v>
      </c>
      <c r="B1637">
        <v>618</v>
      </c>
      <c r="C1637" t="s">
        <v>73</v>
      </c>
      <c r="D1637" t="s">
        <v>972</v>
      </c>
      <c r="E1637">
        <v>1200</v>
      </c>
      <c r="F1637" t="s">
        <v>82</v>
      </c>
      <c r="G1637" t="s">
        <v>78</v>
      </c>
      <c r="H1637" t="s">
        <v>218</v>
      </c>
      <c r="I1637">
        <v>0</v>
      </c>
      <c r="J1637">
        <v>899</v>
      </c>
      <c r="K1637" t="s">
        <v>989</v>
      </c>
      <c r="L1637" t="s">
        <v>236</v>
      </c>
      <c r="N1637" t="s">
        <v>199</v>
      </c>
    </row>
    <row r="1638" spans="1:14" x14ac:dyDescent="0.45">
      <c r="A1638">
        <v>1637</v>
      </c>
      <c r="B1638">
        <v>619</v>
      </c>
      <c r="C1638" t="s">
        <v>73</v>
      </c>
      <c r="D1638" t="s">
        <v>977</v>
      </c>
      <c r="E1638">
        <v>6060</v>
      </c>
      <c r="F1638" t="s">
        <v>129</v>
      </c>
      <c r="G1638" t="s">
        <v>117</v>
      </c>
      <c r="H1638" t="s">
        <v>218</v>
      </c>
      <c r="I1638">
        <v>1510.32</v>
      </c>
      <c r="J1638">
        <v>0</v>
      </c>
      <c r="K1638" t="s">
        <v>990</v>
      </c>
      <c r="L1638" t="s">
        <v>232</v>
      </c>
      <c r="N1638" t="s">
        <v>199</v>
      </c>
    </row>
    <row r="1639" spans="1:14" x14ac:dyDescent="0.45">
      <c r="A1639">
        <v>1638</v>
      </c>
      <c r="B1639">
        <v>619</v>
      </c>
      <c r="C1639" t="s">
        <v>73</v>
      </c>
      <c r="D1639" t="s">
        <v>977</v>
      </c>
      <c r="E1639">
        <v>1000</v>
      </c>
      <c r="F1639" t="s">
        <v>77</v>
      </c>
      <c r="G1639" t="s">
        <v>78</v>
      </c>
      <c r="H1639" t="s">
        <v>218</v>
      </c>
      <c r="I1639">
        <v>0</v>
      </c>
      <c r="J1639">
        <v>1510.32</v>
      </c>
      <c r="K1639" t="s">
        <v>990</v>
      </c>
      <c r="L1639" t="s">
        <v>232</v>
      </c>
      <c r="N1639" t="s">
        <v>199</v>
      </c>
    </row>
    <row r="1640" spans="1:14" x14ac:dyDescent="0.45">
      <c r="A1640">
        <v>1639</v>
      </c>
      <c r="B1640">
        <v>620</v>
      </c>
      <c r="C1640" t="s">
        <v>73</v>
      </c>
      <c r="D1640" t="s">
        <v>979</v>
      </c>
      <c r="E1640">
        <v>7000</v>
      </c>
      <c r="F1640" t="s">
        <v>133</v>
      </c>
      <c r="G1640" t="s">
        <v>117</v>
      </c>
      <c r="H1640" t="s">
        <v>218</v>
      </c>
      <c r="I1640">
        <v>682</v>
      </c>
      <c r="J1640">
        <v>0</v>
      </c>
      <c r="K1640" t="s">
        <v>991</v>
      </c>
      <c r="L1640" t="s">
        <v>241</v>
      </c>
      <c r="N1640" t="s">
        <v>199</v>
      </c>
    </row>
    <row r="1641" spans="1:14" x14ac:dyDescent="0.45">
      <c r="A1641">
        <v>1640</v>
      </c>
      <c r="B1641">
        <v>620</v>
      </c>
      <c r="C1641" t="s">
        <v>73</v>
      </c>
      <c r="D1641" t="s">
        <v>979</v>
      </c>
      <c r="E1641">
        <v>1500</v>
      </c>
      <c r="F1641" t="s">
        <v>86</v>
      </c>
      <c r="G1641" t="s">
        <v>78</v>
      </c>
      <c r="H1641" t="s">
        <v>218</v>
      </c>
      <c r="I1641">
        <v>0</v>
      </c>
      <c r="J1641">
        <v>682</v>
      </c>
      <c r="K1641" t="s">
        <v>991</v>
      </c>
      <c r="L1641" t="s">
        <v>241</v>
      </c>
      <c r="N1641" t="s">
        <v>199</v>
      </c>
    </row>
    <row r="1642" spans="1:14" x14ac:dyDescent="0.45">
      <c r="A1642">
        <v>1641</v>
      </c>
      <c r="B1642">
        <v>621</v>
      </c>
      <c r="C1642" t="s">
        <v>73</v>
      </c>
      <c r="D1642" t="s">
        <v>981</v>
      </c>
      <c r="E1642">
        <v>2000</v>
      </c>
      <c r="F1642" t="s">
        <v>88</v>
      </c>
      <c r="G1642" t="s">
        <v>89</v>
      </c>
      <c r="H1642" t="s">
        <v>218</v>
      </c>
      <c r="I1642">
        <v>2289.3200000000002</v>
      </c>
      <c r="J1642">
        <v>0</v>
      </c>
      <c r="K1642" t="s">
        <v>992</v>
      </c>
      <c r="L1642" t="s">
        <v>232</v>
      </c>
      <c r="N1642" t="s">
        <v>199</v>
      </c>
    </row>
    <row r="1643" spans="1:14" x14ac:dyDescent="0.45">
      <c r="A1643">
        <v>1642</v>
      </c>
      <c r="B1643">
        <v>621</v>
      </c>
      <c r="C1643" t="s">
        <v>73</v>
      </c>
      <c r="D1643" t="s">
        <v>981</v>
      </c>
      <c r="E1643">
        <v>1000</v>
      </c>
      <c r="F1643" t="s">
        <v>77</v>
      </c>
      <c r="G1643" t="s">
        <v>78</v>
      </c>
      <c r="H1643" t="s">
        <v>218</v>
      </c>
      <c r="I1643">
        <v>0</v>
      </c>
      <c r="J1643">
        <v>2289.3200000000002</v>
      </c>
      <c r="K1643" t="s">
        <v>992</v>
      </c>
      <c r="L1643" t="s">
        <v>232</v>
      </c>
      <c r="N1643" t="s">
        <v>199</v>
      </c>
    </row>
    <row r="1644" spans="1:14" x14ac:dyDescent="0.45">
      <c r="A1644">
        <v>1643</v>
      </c>
      <c r="B1644">
        <v>622</v>
      </c>
      <c r="C1644" t="s">
        <v>74</v>
      </c>
      <c r="D1644" t="s">
        <v>964</v>
      </c>
      <c r="E1644">
        <v>1100</v>
      </c>
      <c r="F1644" t="s">
        <v>80</v>
      </c>
      <c r="G1644" t="s">
        <v>78</v>
      </c>
      <c r="H1644" t="s">
        <v>218</v>
      </c>
      <c r="I1644">
        <v>55419.71</v>
      </c>
      <c r="J1644">
        <v>0</v>
      </c>
      <c r="K1644" t="s">
        <v>993</v>
      </c>
      <c r="L1644" t="s">
        <v>220</v>
      </c>
      <c r="N1644" t="s">
        <v>199</v>
      </c>
    </row>
    <row r="1645" spans="1:14" x14ac:dyDescent="0.45">
      <c r="A1645">
        <v>1644</v>
      </c>
      <c r="B1645">
        <v>622</v>
      </c>
      <c r="C1645" t="s">
        <v>74</v>
      </c>
      <c r="D1645" t="s">
        <v>964</v>
      </c>
      <c r="E1645">
        <v>4010</v>
      </c>
      <c r="F1645" t="s">
        <v>101</v>
      </c>
      <c r="G1645" t="s">
        <v>99</v>
      </c>
      <c r="H1645" t="s">
        <v>218</v>
      </c>
      <c r="I1645">
        <v>0</v>
      </c>
      <c r="J1645">
        <v>23276.28</v>
      </c>
      <c r="K1645" t="s">
        <v>993</v>
      </c>
      <c r="L1645" t="s">
        <v>220</v>
      </c>
      <c r="N1645" t="s">
        <v>199</v>
      </c>
    </row>
    <row r="1646" spans="1:14" x14ac:dyDescent="0.45">
      <c r="A1646">
        <v>1645</v>
      </c>
      <c r="B1646">
        <v>622</v>
      </c>
      <c r="C1646" t="s">
        <v>74</v>
      </c>
      <c r="D1646" t="s">
        <v>964</v>
      </c>
      <c r="E1646">
        <v>4020</v>
      </c>
      <c r="F1646" t="s">
        <v>103</v>
      </c>
      <c r="G1646" t="s">
        <v>99</v>
      </c>
      <c r="H1646" t="s">
        <v>218</v>
      </c>
      <c r="I1646">
        <v>0</v>
      </c>
      <c r="J1646">
        <v>18288.5</v>
      </c>
      <c r="K1646" t="s">
        <v>993</v>
      </c>
      <c r="L1646" t="s">
        <v>220</v>
      </c>
      <c r="N1646" t="s">
        <v>199</v>
      </c>
    </row>
    <row r="1647" spans="1:14" x14ac:dyDescent="0.45">
      <c r="A1647">
        <v>1646</v>
      </c>
      <c r="B1647">
        <v>622</v>
      </c>
      <c r="C1647" t="s">
        <v>74</v>
      </c>
      <c r="D1647" t="s">
        <v>964</v>
      </c>
      <c r="E1647">
        <v>4030</v>
      </c>
      <c r="F1647" t="s">
        <v>105</v>
      </c>
      <c r="G1647" t="s">
        <v>99</v>
      </c>
      <c r="H1647" t="s">
        <v>218</v>
      </c>
      <c r="I1647">
        <v>0</v>
      </c>
      <c r="J1647">
        <v>13854.93</v>
      </c>
      <c r="K1647" t="s">
        <v>993</v>
      </c>
      <c r="L1647" t="s">
        <v>220</v>
      </c>
      <c r="N1647" t="s">
        <v>199</v>
      </c>
    </row>
    <row r="1648" spans="1:14" x14ac:dyDescent="0.45">
      <c r="A1648">
        <v>1647</v>
      </c>
      <c r="B1648">
        <v>623</v>
      </c>
      <c r="C1648" t="s">
        <v>74</v>
      </c>
      <c r="D1648" t="s">
        <v>966</v>
      </c>
      <c r="E1648">
        <v>1000</v>
      </c>
      <c r="F1648" t="s">
        <v>77</v>
      </c>
      <c r="G1648" t="s">
        <v>78</v>
      </c>
      <c r="H1648" t="s">
        <v>218</v>
      </c>
      <c r="I1648">
        <v>51831.21</v>
      </c>
      <c r="J1648">
        <v>0</v>
      </c>
      <c r="K1648" t="s">
        <v>994</v>
      </c>
      <c r="L1648" t="s">
        <v>223</v>
      </c>
      <c r="N1648" t="s">
        <v>199</v>
      </c>
    </row>
    <row r="1649" spans="1:14" x14ac:dyDescent="0.45">
      <c r="A1649">
        <v>1648</v>
      </c>
      <c r="B1649">
        <v>623</v>
      </c>
      <c r="C1649" t="s">
        <v>74</v>
      </c>
      <c r="D1649" t="s">
        <v>966</v>
      </c>
      <c r="E1649">
        <v>1100</v>
      </c>
      <c r="F1649" t="s">
        <v>80</v>
      </c>
      <c r="G1649" t="s">
        <v>78</v>
      </c>
      <c r="H1649" t="s">
        <v>218</v>
      </c>
      <c r="I1649">
        <v>0</v>
      </c>
      <c r="J1649">
        <v>51831.21</v>
      </c>
      <c r="K1649" t="s">
        <v>994</v>
      </c>
      <c r="L1649" t="s">
        <v>223</v>
      </c>
      <c r="N1649" t="s">
        <v>199</v>
      </c>
    </row>
    <row r="1650" spans="1:14" x14ac:dyDescent="0.45">
      <c r="A1650">
        <v>1649</v>
      </c>
      <c r="B1650">
        <v>624</v>
      </c>
      <c r="C1650" t="s">
        <v>74</v>
      </c>
      <c r="D1650" t="s">
        <v>968</v>
      </c>
      <c r="E1650">
        <v>5010</v>
      </c>
      <c r="F1650" t="s">
        <v>112</v>
      </c>
      <c r="G1650" t="s">
        <v>110</v>
      </c>
      <c r="H1650" t="s">
        <v>218</v>
      </c>
      <c r="I1650">
        <v>3147.48</v>
      </c>
      <c r="J1650">
        <v>0</v>
      </c>
      <c r="K1650" t="s">
        <v>995</v>
      </c>
      <c r="L1650" t="s">
        <v>226</v>
      </c>
      <c r="N1650" t="s">
        <v>199</v>
      </c>
    </row>
    <row r="1651" spans="1:14" x14ac:dyDescent="0.45">
      <c r="A1651">
        <v>1650</v>
      </c>
      <c r="B1651">
        <v>624</v>
      </c>
      <c r="C1651" t="s">
        <v>74</v>
      </c>
      <c r="D1651" t="s">
        <v>968</v>
      </c>
      <c r="E1651">
        <v>5020</v>
      </c>
      <c r="F1651" t="s">
        <v>114</v>
      </c>
      <c r="G1651" t="s">
        <v>110</v>
      </c>
      <c r="H1651" t="s">
        <v>218</v>
      </c>
      <c r="I1651">
        <v>2575.21</v>
      </c>
      <c r="J1651">
        <v>0</v>
      </c>
      <c r="K1651" t="s">
        <v>995</v>
      </c>
      <c r="L1651" t="s">
        <v>226</v>
      </c>
      <c r="N1651" t="s">
        <v>199</v>
      </c>
    </row>
    <row r="1652" spans="1:14" x14ac:dyDescent="0.45">
      <c r="A1652">
        <v>1651</v>
      </c>
      <c r="B1652">
        <v>624</v>
      </c>
      <c r="C1652" t="s">
        <v>74</v>
      </c>
      <c r="D1652" t="s">
        <v>968</v>
      </c>
      <c r="E1652">
        <v>1000</v>
      </c>
      <c r="F1652" t="s">
        <v>77</v>
      </c>
      <c r="G1652" t="s">
        <v>78</v>
      </c>
      <c r="H1652" t="s">
        <v>218</v>
      </c>
      <c r="I1652">
        <v>0</v>
      </c>
      <c r="J1652">
        <v>4005.88</v>
      </c>
      <c r="K1652" t="s">
        <v>995</v>
      </c>
      <c r="L1652" t="s">
        <v>226</v>
      </c>
      <c r="N1652" t="s">
        <v>199</v>
      </c>
    </row>
    <row r="1653" spans="1:14" x14ac:dyDescent="0.45">
      <c r="A1653">
        <v>1652</v>
      </c>
      <c r="B1653">
        <v>624</v>
      </c>
      <c r="C1653" t="s">
        <v>74</v>
      </c>
      <c r="D1653" t="s">
        <v>968</v>
      </c>
      <c r="E1653">
        <v>2000</v>
      </c>
      <c r="F1653" t="s">
        <v>88</v>
      </c>
      <c r="G1653" t="s">
        <v>89</v>
      </c>
      <c r="H1653" t="s">
        <v>218</v>
      </c>
      <c r="I1653">
        <v>0</v>
      </c>
      <c r="J1653">
        <v>1716.81</v>
      </c>
      <c r="K1653" t="s">
        <v>995</v>
      </c>
      <c r="L1653" t="s">
        <v>226</v>
      </c>
      <c r="N1653" t="s">
        <v>199</v>
      </c>
    </row>
    <row r="1654" spans="1:14" x14ac:dyDescent="0.45">
      <c r="A1654">
        <v>1653</v>
      </c>
      <c r="B1654">
        <v>625</v>
      </c>
      <c r="C1654" t="s">
        <v>74</v>
      </c>
      <c r="D1654" t="s">
        <v>970</v>
      </c>
      <c r="E1654">
        <v>6010</v>
      </c>
      <c r="F1654" t="s">
        <v>119</v>
      </c>
      <c r="G1654" t="s">
        <v>117</v>
      </c>
      <c r="H1654" t="s">
        <v>218</v>
      </c>
      <c r="I1654">
        <v>26879.599999999999</v>
      </c>
      <c r="J1654">
        <v>0</v>
      </c>
      <c r="K1654" t="s">
        <v>996</v>
      </c>
      <c r="L1654" t="s">
        <v>229</v>
      </c>
      <c r="N1654" t="s">
        <v>199</v>
      </c>
    </row>
    <row r="1655" spans="1:14" x14ac:dyDescent="0.45">
      <c r="A1655">
        <v>1654</v>
      </c>
      <c r="B1655">
        <v>625</v>
      </c>
      <c r="C1655" t="s">
        <v>74</v>
      </c>
      <c r="D1655" t="s">
        <v>970</v>
      </c>
      <c r="E1655">
        <v>6020</v>
      </c>
      <c r="F1655" t="s">
        <v>121</v>
      </c>
      <c r="G1655" t="s">
        <v>117</v>
      </c>
      <c r="H1655" t="s">
        <v>218</v>
      </c>
      <c r="I1655">
        <v>3763.14</v>
      </c>
      <c r="J1655">
        <v>0</v>
      </c>
      <c r="K1655" t="s">
        <v>996</v>
      </c>
      <c r="L1655" t="s">
        <v>229</v>
      </c>
      <c r="N1655" t="s">
        <v>199</v>
      </c>
    </row>
    <row r="1656" spans="1:14" x14ac:dyDescent="0.45">
      <c r="A1656">
        <v>1655</v>
      </c>
      <c r="B1656">
        <v>625</v>
      </c>
      <c r="C1656" t="s">
        <v>74</v>
      </c>
      <c r="D1656" t="s">
        <v>970</v>
      </c>
      <c r="E1656">
        <v>1000</v>
      </c>
      <c r="F1656" t="s">
        <v>77</v>
      </c>
      <c r="G1656" t="s">
        <v>78</v>
      </c>
      <c r="H1656" t="s">
        <v>218</v>
      </c>
      <c r="I1656">
        <v>0</v>
      </c>
      <c r="J1656">
        <v>30611.9</v>
      </c>
      <c r="K1656" t="s">
        <v>996</v>
      </c>
      <c r="L1656" t="s">
        <v>229</v>
      </c>
      <c r="N1656" t="s">
        <v>199</v>
      </c>
    </row>
    <row r="1657" spans="1:14" x14ac:dyDescent="0.45">
      <c r="A1657">
        <v>1656</v>
      </c>
      <c r="B1657">
        <v>625</v>
      </c>
      <c r="C1657" t="s">
        <v>74</v>
      </c>
      <c r="D1657" t="s">
        <v>970</v>
      </c>
      <c r="E1657">
        <v>2100</v>
      </c>
      <c r="F1657" t="s">
        <v>91</v>
      </c>
      <c r="G1657" t="s">
        <v>89</v>
      </c>
      <c r="H1657" t="s">
        <v>218</v>
      </c>
      <c r="I1657">
        <v>0</v>
      </c>
      <c r="J1657">
        <v>3064.27</v>
      </c>
      <c r="K1657" t="s">
        <v>996</v>
      </c>
      <c r="L1657" t="s">
        <v>229</v>
      </c>
      <c r="N1657" t="s">
        <v>199</v>
      </c>
    </row>
    <row r="1658" spans="1:14" x14ac:dyDescent="0.45">
      <c r="A1658">
        <v>1657</v>
      </c>
      <c r="B1658">
        <v>625</v>
      </c>
      <c r="C1658" t="s">
        <v>74</v>
      </c>
      <c r="D1658" t="s">
        <v>970</v>
      </c>
      <c r="E1658">
        <v>2100</v>
      </c>
      <c r="F1658" t="s">
        <v>91</v>
      </c>
      <c r="G1658" t="s">
        <v>89</v>
      </c>
      <c r="H1658" t="s">
        <v>218</v>
      </c>
      <c r="I1658">
        <v>3033.43</v>
      </c>
      <c r="J1658">
        <v>0</v>
      </c>
      <c r="K1658" t="s">
        <v>996</v>
      </c>
      <c r="L1658" t="s">
        <v>229</v>
      </c>
      <c r="N1658" t="s">
        <v>199</v>
      </c>
    </row>
    <row r="1659" spans="1:14" x14ac:dyDescent="0.45">
      <c r="A1659">
        <v>1658</v>
      </c>
      <c r="B1659">
        <v>626</v>
      </c>
      <c r="C1659" t="s">
        <v>74</v>
      </c>
      <c r="D1659" t="s">
        <v>972</v>
      </c>
      <c r="E1659">
        <v>6030</v>
      </c>
      <c r="F1659" t="s">
        <v>123</v>
      </c>
      <c r="G1659" t="s">
        <v>117</v>
      </c>
      <c r="H1659" t="s">
        <v>218</v>
      </c>
      <c r="I1659">
        <v>4039.2</v>
      </c>
      <c r="J1659">
        <v>0</v>
      </c>
      <c r="K1659" t="s">
        <v>997</v>
      </c>
      <c r="L1659" t="s">
        <v>232</v>
      </c>
      <c r="N1659" t="s">
        <v>199</v>
      </c>
    </row>
    <row r="1660" spans="1:14" x14ac:dyDescent="0.45">
      <c r="A1660">
        <v>1659</v>
      </c>
      <c r="B1660">
        <v>626</v>
      </c>
      <c r="C1660" t="s">
        <v>74</v>
      </c>
      <c r="D1660" t="s">
        <v>972</v>
      </c>
      <c r="E1660">
        <v>1000</v>
      </c>
      <c r="F1660" t="s">
        <v>77</v>
      </c>
      <c r="G1660" t="s">
        <v>78</v>
      </c>
      <c r="H1660" t="s">
        <v>218</v>
      </c>
      <c r="I1660">
        <v>0</v>
      </c>
      <c r="J1660">
        <v>4039.2</v>
      </c>
      <c r="K1660" t="s">
        <v>997</v>
      </c>
      <c r="L1660" t="s">
        <v>232</v>
      </c>
      <c r="N1660" t="s">
        <v>199</v>
      </c>
    </row>
    <row r="1661" spans="1:14" x14ac:dyDescent="0.45">
      <c r="A1661">
        <v>1660</v>
      </c>
      <c r="B1661">
        <v>627</v>
      </c>
      <c r="C1661" t="s">
        <v>74</v>
      </c>
      <c r="D1661" t="s">
        <v>974</v>
      </c>
      <c r="E1661">
        <v>6040</v>
      </c>
      <c r="F1661" t="s">
        <v>125</v>
      </c>
      <c r="G1661" t="s">
        <v>117</v>
      </c>
      <c r="H1661" t="s">
        <v>218</v>
      </c>
      <c r="I1661">
        <v>1617.15</v>
      </c>
      <c r="J1661">
        <v>0</v>
      </c>
      <c r="K1661" t="s">
        <v>998</v>
      </c>
      <c r="L1661" t="s">
        <v>226</v>
      </c>
      <c r="N1661" t="s">
        <v>199</v>
      </c>
    </row>
    <row r="1662" spans="1:14" x14ac:dyDescent="0.45">
      <c r="A1662">
        <v>1661</v>
      </c>
      <c r="B1662">
        <v>627</v>
      </c>
      <c r="C1662" t="s">
        <v>74</v>
      </c>
      <c r="D1662" t="s">
        <v>974</v>
      </c>
      <c r="E1662">
        <v>1000</v>
      </c>
      <c r="F1662" t="s">
        <v>77</v>
      </c>
      <c r="G1662" t="s">
        <v>78</v>
      </c>
      <c r="H1662" t="s">
        <v>218</v>
      </c>
      <c r="I1662">
        <v>0</v>
      </c>
      <c r="J1662">
        <v>1293.72</v>
      </c>
      <c r="K1662" t="s">
        <v>998</v>
      </c>
      <c r="L1662" t="s">
        <v>226</v>
      </c>
      <c r="N1662" t="s">
        <v>199</v>
      </c>
    </row>
    <row r="1663" spans="1:14" x14ac:dyDescent="0.45">
      <c r="A1663">
        <v>1662</v>
      </c>
      <c r="B1663">
        <v>627</v>
      </c>
      <c r="C1663" t="s">
        <v>74</v>
      </c>
      <c r="D1663" t="s">
        <v>974</v>
      </c>
      <c r="E1663">
        <v>2000</v>
      </c>
      <c r="F1663" t="s">
        <v>88</v>
      </c>
      <c r="G1663" t="s">
        <v>89</v>
      </c>
      <c r="H1663" t="s">
        <v>218</v>
      </c>
      <c r="I1663">
        <v>0</v>
      </c>
      <c r="J1663">
        <v>323.43</v>
      </c>
      <c r="K1663" t="s">
        <v>998</v>
      </c>
      <c r="L1663" t="s">
        <v>226</v>
      </c>
      <c r="N1663" t="s">
        <v>199</v>
      </c>
    </row>
    <row r="1664" spans="1:14" x14ac:dyDescent="0.45">
      <c r="A1664">
        <v>1663</v>
      </c>
      <c r="B1664">
        <v>628</v>
      </c>
      <c r="C1664" t="s">
        <v>74</v>
      </c>
      <c r="D1664" t="s">
        <v>972</v>
      </c>
      <c r="E1664">
        <v>6050</v>
      </c>
      <c r="F1664" t="s">
        <v>127</v>
      </c>
      <c r="G1664" t="s">
        <v>117</v>
      </c>
      <c r="H1664" t="s">
        <v>218</v>
      </c>
      <c r="I1664">
        <v>797.5</v>
      </c>
      <c r="J1664">
        <v>0</v>
      </c>
      <c r="K1664" t="s">
        <v>999</v>
      </c>
      <c r="L1664" t="s">
        <v>236</v>
      </c>
      <c r="N1664" t="s">
        <v>199</v>
      </c>
    </row>
    <row r="1665" spans="1:14" x14ac:dyDescent="0.45">
      <c r="A1665">
        <v>1664</v>
      </c>
      <c r="B1665">
        <v>628</v>
      </c>
      <c r="C1665" t="s">
        <v>74</v>
      </c>
      <c r="D1665" t="s">
        <v>972</v>
      </c>
      <c r="E1665">
        <v>1200</v>
      </c>
      <c r="F1665" t="s">
        <v>82</v>
      </c>
      <c r="G1665" t="s">
        <v>78</v>
      </c>
      <c r="H1665" t="s">
        <v>218</v>
      </c>
      <c r="I1665">
        <v>0</v>
      </c>
      <c r="J1665">
        <v>797.5</v>
      </c>
      <c r="K1665" t="s">
        <v>999</v>
      </c>
      <c r="L1665" t="s">
        <v>236</v>
      </c>
      <c r="N1665" t="s">
        <v>199</v>
      </c>
    </row>
    <row r="1666" spans="1:14" x14ac:dyDescent="0.45">
      <c r="A1666">
        <v>1665</v>
      </c>
      <c r="B1666">
        <v>629</v>
      </c>
      <c r="C1666" t="s">
        <v>74</v>
      </c>
      <c r="D1666" t="s">
        <v>977</v>
      </c>
      <c r="E1666">
        <v>6060</v>
      </c>
      <c r="F1666" t="s">
        <v>129</v>
      </c>
      <c r="G1666" t="s">
        <v>117</v>
      </c>
      <c r="H1666" t="s">
        <v>218</v>
      </c>
      <c r="I1666">
        <v>1339.8</v>
      </c>
      <c r="J1666">
        <v>0</v>
      </c>
      <c r="K1666" t="s">
        <v>1000</v>
      </c>
      <c r="L1666" t="s">
        <v>232</v>
      </c>
      <c r="N1666" t="s">
        <v>199</v>
      </c>
    </row>
    <row r="1667" spans="1:14" x14ac:dyDescent="0.45">
      <c r="A1667">
        <v>1666</v>
      </c>
      <c r="B1667">
        <v>629</v>
      </c>
      <c r="C1667" t="s">
        <v>74</v>
      </c>
      <c r="D1667" t="s">
        <v>977</v>
      </c>
      <c r="E1667">
        <v>1000</v>
      </c>
      <c r="F1667" t="s">
        <v>77</v>
      </c>
      <c r="G1667" t="s">
        <v>78</v>
      </c>
      <c r="H1667" t="s">
        <v>218</v>
      </c>
      <c r="I1667">
        <v>0</v>
      </c>
      <c r="J1667">
        <v>1339.8</v>
      </c>
      <c r="K1667" t="s">
        <v>1000</v>
      </c>
      <c r="L1667" t="s">
        <v>232</v>
      </c>
      <c r="N1667" t="s">
        <v>199</v>
      </c>
    </row>
    <row r="1668" spans="1:14" x14ac:dyDescent="0.45">
      <c r="A1668">
        <v>1667</v>
      </c>
      <c r="B1668">
        <v>630</v>
      </c>
      <c r="C1668" t="s">
        <v>74</v>
      </c>
      <c r="D1668" t="s">
        <v>979</v>
      </c>
      <c r="E1668">
        <v>7000</v>
      </c>
      <c r="F1668" t="s">
        <v>133</v>
      </c>
      <c r="G1668" t="s">
        <v>117</v>
      </c>
      <c r="H1668" t="s">
        <v>218</v>
      </c>
      <c r="I1668">
        <v>605</v>
      </c>
      <c r="J1668">
        <v>0</v>
      </c>
      <c r="K1668" t="s">
        <v>1001</v>
      </c>
      <c r="L1668" t="s">
        <v>241</v>
      </c>
      <c r="N1668" t="s">
        <v>199</v>
      </c>
    </row>
    <row r="1669" spans="1:14" x14ac:dyDescent="0.45">
      <c r="A1669">
        <v>1668</v>
      </c>
      <c r="B1669">
        <v>630</v>
      </c>
      <c r="C1669" t="s">
        <v>74</v>
      </c>
      <c r="D1669" t="s">
        <v>979</v>
      </c>
      <c r="E1669">
        <v>1500</v>
      </c>
      <c r="F1669" t="s">
        <v>86</v>
      </c>
      <c r="G1669" t="s">
        <v>78</v>
      </c>
      <c r="H1669" t="s">
        <v>218</v>
      </c>
      <c r="I1669">
        <v>0</v>
      </c>
      <c r="J1669">
        <v>605</v>
      </c>
      <c r="K1669" t="s">
        <v>1001</v>
      </c>
      <c r="L1669" t="s">
        <v>241</v>
      </c>
      <c r="N1669" t="s">
        <v>199</v>
      </c>
    </row>
    <row r="1670" spans="1:14" x14ac:dyDescent="0.45">
      <c r="A1670">
        <v>1669</v>
      </c>
      <c r="B1670">
        <v>631</v>
      </c>
      <c r="C1670" t="s">
        <v>74</v>
      </c>
      <c r="D1670" t="s">
        <v>981</v>
      </c>
      <c r="E1670">
        <v>2000</v>
      </c>
      <c r="F1670" t="s">
        <v>88</v>
      </c>
      <c r="G1670" t="s">
        <v>89</v>
      </c>
      <c r="H1670" t="s">
        <v>218</v>
      </c>
      <c r="I1670">
        <v>2392.9899999999998</v>
      </c>
      <c r="J1670">
        <v>0</v>
      </c>
      <c r="K1670" t="s">
        <v>1002</v>
      </c>
      <c r="L1670" t="s">
        <v>232</v>
      </c>
      <c r="N1670" t="s">
        <v>199</v>
      </c>
    </row>
    <row r="1671" spans="1:14" x14ac:dyDescent="0.45">
      <c r="A1671">
        <v>1670</v>
      </c>
      <c r="B1671">
        <v>631</v>
      </c>
      <c r="C1671" t="s">
        <v>74</v>
      </c>
      <c r="D1671" t="s">
        <v>981</v>
      </c>
      <c r="E1671">
        <v>1000</v>
      </c>
      <c r="F1671" t="s">
        <v>77</v>
      </c>
      <c r="G1671" t="s">
        <v>78</v>
      </c>
      <c r="H1671" t="s">
        <v>218</v>
      </c>
      <c r="I1671">
        <v>0</v>
      </c>
      <c r="J1671">
        <v>2392.9899999999998</v>
      </c>
      <c r="K1671" t="s">
        <v>1002</v>
      </c>
      <c r="L1671" t="s">
        <v>232</v>
      </c>
      <c r="N1671" t="s">
        <v>199</v>
      </c>
    </row>
    <row r="1672" spans="1:14" x14ac:dyDescent="0.45">
      <c r="A1672">
        <v>1671</v>
      </c>
      <c r="B1672">
        <v>632</v>
      </c>
      <c r="C1672" t="s">
        <v>72</v>
      </c>
      <c r="D1672" t="s">
        <v>1003</v>
      </c>
      <c r="E1672">
        <v>1300</v>
      </c>
      <c r="F1672" t="s">
        <v>84</v>
      </c>
      <c r="G1672" t="s">
        <v>78</v>
      </c>
      <c r="H1672" t="s">
        <v>261</v>
      </c>
      <c r="I1672">
        <v>3739.84</v>
      </c>
      <c r="J1672">
        <v>0</v>
      </c>
      <c r="K1672" t="s">
        <v>1004</v>
      </c>
      <c r="L1672" t="s">
        <v>263</v>
      </c>
      <c r="M1672" t="s">
        <v>73</v>
      </c>
      <c r="N1672" t="s">
        <v>199</v>
      </c>
    </row>
    <row r="1673" spans="1:14" x14ac:dyDescent="0.45">
      <c r="A1673">
        <v>1672</v>
      </c>
      <c r="B1673">
        <v>632</v>
      </c>
      <c r="C1673" t="s">
        <v>72</v>
      </c>
      <c r="D1673" t="s">
        <v>1003</v>
      </c>
      <c r="E1673">
        <v>4090</v>
      </c>
      <c r="F1673" t="s">
        <v>107</v>
      </c>
      <c r="G1673" t="s">
        <v>99</v>
      </c>
      <c r="H1673" t="s">
        <v>261</v>
      </c>
      <c r="I1673">
        <v>0</v>
      </c>
      <c r="J1673">
        <v>3739.84</v>
      </c>
      <c r="K1673" t="s">
        <v>1004</v>
      </c>
      <c r="L1673" t="s">
        <v>263</v>
      </c>
      <c r="M1673" t="s">
        <v>73</v>
      </c>
      <c r="N1673" t="s">
        <v>199</v>
      </c>
    </row>
    <row r="1674" spans="1:14" x14ac:dyDescent="0.45">
      <c r="A1674">
        <v>1673</v>
      </c>
      <c r="B1674">
        <v>633</v>
      </c>
      <c r="C1674" t="s">
        <v>73</v>
      </c>
      <c r="D1674" t="s">
        <v>1003</v>
      </c>
      <c r="E1674">
        <v>6070</v>
      </c>
      <c r="F1674" t="s">
        <v>131</v>
      </c>
      <c r="G1674" t="s">
        <v>117</v>
      </c>
      <c r="H1674" t="s">
        <v>261</v>
      </c>
      <c r="I1674">
        <v>3739.84</v>
      </c>
      <c r="J1674">
        <v>0</v>
      </c>
      <c r="K1674" t="s">
        <v>1005</v>
      </c>
      <c r="L1674" t="s">
        <v>263</v>
      </c>
      <c r="M1674" t="s">
        <v>72</v>
      </c>
      <c r="N1674" t="s">
        <v>199</v>
      </c>
    </row>
    <row r="1675" spans="1:14" x14ac:dyDescent="0.45">
      <c r="A1675">
        <v>1674</v>
      </c>
      <c r="B1675">
        <v>633</v>
      </c>
      <c r="C1675" t="s">
        <v>73</v>
      </c>
      <c r="D1675" t="s">
        <v>1003</v>
      </c>
      <c r="E1675">
        <v>2200</v>
      </c>
      <c r="F1675" t="s">
        <v>93</v>
      </c>
      <c r="G1675" t="s">
        <v>89</v>
      </c>
      <c r="H1675" t="s">
        <v>261</v>
      </c>
      <c r="I1675">
        <v>0</v>
      </c>
      <c r="J1675">
        <v>3739.84</v>
      </c>
      <c r="K1675" t="s">
        <v>1005</v>
      </c>
      <c r="L1675" t="s">
        <v>263</v>
      </c>
      <c r="M1675" t="s">
        <v>72</v>
      </c>
      <c r="N1675" t="s">
        <v>199</v>
      </c>
    </row>
    <row r="1676" spans="1:14" x14ac:dyDescent="0.45">
      <c r="A1676">
        <v>1675</v>
      </c>
      <c r="B1676">
        <v>634</v>
      </c>
      <c r="C1676" t="s">
        <v>73</v>
      </c>
      <c r="D1676" t="s">
        <v>966</v>
      </c>
      <c r="E1676">
        <v>2200</v>
      </c>
      <c r="F1676" t="s">
        <v>93</v>
      </c>
      <c r="G1676" t="s">
        <v>89</v>
      </c>
      <c r="H1676" t="s">
        <v>261</v>
      </c>
      <c r="I1676">
        <v>3707.6</v>
      </c>
      <c r="J1676">
        <v>0</v>
      </c>
      <c r="K1676" t="s">
        <v>1006</v>
      </c>
      <c r="L1676" t="s">
        <v>309</v>
      </c>
      <c r="M1676" t="s">
        <v>72</v>
      </c>
      <c r="N1676" t="s">
        <v>199</v>
      </c>
    </row>
    <row r="1677" spans="1:14" x14ac:dyDescent="0.45">
      <c r="A1677">
        <v>1676</v>
      </c>
      <c r="B1677">
        <v>634</v>
      </c>
      <c r="C1677" t="s">
        <v>73</v>
      </c>
      <c r="D1677" t="s">
        <v>966</v>
      </c>
      <c r="E1677">
        <v>1000</v>
      </c>
      <c r="F1677" t="s">
        <v>77</v>
      </c>
      <c r="G1677" t="s">
        <v>78</v>
      </c>
      <c r="H1677" t="s">
        <v>218</v>
      </c>
      <c r="I1677">
        <v>0</v>
      </c>
      <c r="J1677">
        <v>3707.6</v>
      </c>
      <c r="K1677" t="s">
        <v>1006</v>
      </c>
      <c r="L1677" t="s">
        <v>309</v>
      </c>
      <c r="M1677" t="s">
        <v>72</v>
      </c>
      <c r="N1677" t="s">
        <v>199</v>
      </c>
    </row>
    <row r="1678" spans="1:14" x14ac:dyDescent="0.45">
      <c r="A1678">
        <v>1677</v>
      </c>
      <c r="B1678">
        <v>635</v>
      </c>
      <c r="C1678" t="s">
        <v>72</v>
      </c>
      <c r="D1678" t="s">
        <v>966</v>
      </c>
      <c r="E1678">
        <v>1000</v>
      </c>
      <c r="F1678" t="s">
        <v>77</v>
      </c>
      <c r="G1678" t="s">
        <v>78</v>
      </c>
      <c r="H1678" t="s">
        <v>218</v>
      </c>
      <c r="I1678">
        <v>3707.6</v>
      </c>
      <c r="J1678">
        <v>0</v>
      </c>
      <c r="K1678" t="s">
        <v>1007</v>
      </c>
      <c r="L1678" t="s">
        <v>309</v>
      </c>
      <c r="M1678" t="s">
        <v>73</v>
      </c>
      <c r="N1678" t="s">
        <v>199</v>
      </c>
    </row>
    <row r="1679" spans="1:14" x14ac:dyDescent="0.45">
      <c r="A1679">
        <v>1678</v>
      </c>
      <c r="B1679">
        <v>635</v>
      </c>
      <c r="C1679" t="s">
        <v>72</v>
      </c>
      <c r="D1679" t="s">
        <v>966</v>
      </c>
      <c r="E1679">
        <v>1300</v>
      </c>
      <c r="F1679" t="s">
        <v>84</v>
      </c>
      <c r="G1679" t="s">
        <v>78</v>
      </c>
      <c r="H1679" t="s">
        <v>261</v>
      </c>
      <c r="I1679">
        <v>0</v>
      </c>
      <c r="J1679">
        <v>3707.6</v>
      </c>
      <c r="K1679" t="s">
        <v>1007</v>
      </c>
      <c r="L1679" t="s">
        <v>309</v>
      </c>
      <c r="M1679" t="s">
        <v>73</v>
      </c>
      <c r="N1679" t="s">
        <v>199</v>
      </c>
    </row>
    <row r="1680" spans="1:14" x14ac:dyDescent="0.45">
      <c r="A1680">
        <v>1679</v>
      </c>
      <c r="B1680">
        <v>636</v>
      </c>
      <c r="C1680" t="s">
        <v>72</v>
      </c>
      <c r="D1680" t="s">
        <v>1003</v>
      </c>
      <c r="E1680">
        <v>1300</v>
      </c>
      <c r="F1680" t="s">
        <v>84</v>
      </c>
      <c r="G1680" t="s">
        <v>78</v>
      </c>
      <c r="H1680" t="s">
        <v>261</v>
      </c>
      <c r="I1680">
        <v>3317.6</v>
      </c>
      <c r="J1680">
        <v>0</v>
      </c>
      <c r="K1680" t="s">
        <v>1008</v>
      </c>
      <c r="L1680" t="s">
        <v>263</v>
      </c>
      <c r="M1680" t="s">
        <v>74</v>
      </c>
      <c r="N1680" t="s">
        <v>199</v>
      </c>
    </row>
    <row r="1681" spans="1:14" x14ac:dyDescent="0.45">
      <c r="A1681">
        <v>1680</v>
      </c>
      <c r="B1681">
        <v>636</v>
      </c>
      <c r="C1681" t="s">
        <v>72</v>
      </c>
      <c r="D1681" t="s">
        <v>1003</v>
      </c>
      <c r="E1681">
        <v>4090</v>
      </c>
      <c r="F1681" t="s">
        <v>107</v>
      </c>
      <c r="G1681" t="s">
        <v>99</v>
      </c>
      <c r="H1681" t="s">
        <v>261</v>
      </c>
      <c r="I1681">
        <v>0</v>
      </c>
      <c r="J1681">
        <v>3317.6</v>
      </c>
      <c r="K1681" t="s">
        <v>1008</v>
      </c>
      <c r="L1681" t="s">
        <v>263</v>
      </c>
      <c r="M1681" t="s">
        <v>74</v>
      </c>
      <c r="N1681" t="s">
        <v>199</v>
      </c>
    </row>
    <row r="1682" spans="1:14" x14ac:dyDescent="0.45">
      <c r="A1682">
        <v>1681</v>
      </c>
      <c r="B1682">
        <v>637</v>
      </c>
      <c r="C1682" t="s">
        <v>74</v>
      </c>
      <c r="D1682" t="s">
        <v>1003</v>
      </c>
      <c r="E1682">
        <v>6070</v>
      </c>
      <c r="F1682" t="s">
        <v>131</v>
      </c>
      <c r="G1682" t="s">
        <v>117</v>
      </c>
      <c r="H1682" t="s">
        <v>261</v>
      </c>
      <c r="I1682">
        <v>3317.6</v>
      </c>
      <c r="J1682">
        <v>0</v>
      </c>
      <c r="K1682" t="s">
        <v>1005</v>
      </c>
      <c r="L1682" t="s">
        <v>263</v>
      </c>
      <c r="M1682" t="s">
        <v>72</v>
      </c>
      <c r="N1682" t="s">
        <v>199</v>
      </c>
    </row>
    <row r="1683" spans="1:14" x14ac:dyDescent="0.45">
      <c r="A1683">
        <v>1682</v>
      </c>
      <c r="B1683">
        <v>637</v>
      </c>
      <c r="C1683" t="s">
        <v>74</v>
      </c>
      <c r="D1683" t="s">
        <v>1003</v>
      </c>
      <c r="E1683">
        <v>2200</v>
      </c>
      <c r="F1683" t="s">
        <v>93</v>
      </c>
      <c r="G1683" t="s">
        <v>89</v>
      </c>
      <c r="H1683" t="s">
        <v>261</v>
      </c>
      <c r="I1683">
        <v>0</v>
      </c>
      <c r="J1683">
        <v>3317.6</v>
      </c>
      <c r="K1683" t="s">
        <v>1005</v>
      </c>
      <c r="L1683" t="s">
        <v>263</v>
      </c>
      <c r="M1683" t="s">
        <v>72</v>
      </c>
      <c r="N1683" t="s">
        <v>199</v>
      </c>
    </row>
    <row r="1684" spans="1:14" x14ac:dyDescent="0.45">
      <c r="A1684">
        <v>1683</v>
      </c>
      <c r="B1684">
        <v>638</v>
      </c>
      <c r="C1684" t="s">
        <v>74</v>
      </c>
      <c r="D1684" t="s">
        <v>966</v>
      </c>
      <c r="E1684">
        <v>2200</v>
      </c>
      <c r="F1684" t="s">
        <v>93</v>
      </c>
      <c r="G1684" t="s">
        <v>89</v>
      </c>
      <c r="H1684" t="s">
        <v>261</v>
      </c>
      <c r="I1684">
        <v>3289</v>
      </c>
      <c r="J1684">
        <v>0</v>
      </c>
      <c r="K1684" t="s">
        <v>1006</v>
      </c>
      <c r="L1684" t="s">
        <v>309</v>
      </c>
      <c r="M1684" t="s">
        <v>72</v>
      </c>
      <c r="N1684" t="s">
        <v>199</v>
      </c>
    </row>
    <row r="1685" spans="1:14" x14ac:dyDescent="0.45">
      <c r="A1685">
        <v>1684</v>
      </c>
      <c r="B1685">
        <v>638</v>
      </c>
      <c r="C1685" t="s">
        <v>74</v>
      </c>
      <c r="D1685" t="s">
        <v>966</v>
      </c>
      <c r="E1685">
        <v>1000</v>
      </c>
      <c r="F1685" t="s">
        <v>77</v>
      </c>
      <c r="G1685" t="s">
        <v>78</v>
      </c>
      <c r="H1685" t="s">
        <v>218</v>
      </c>
      <c r="I1685">
        <v>0</v>
      </c>
      <c r="J1685">
        <v>3289</v>
      </c>
      <c r="K1685" t="s">
        <v>1006</v>
      </c>
      <c r="L1685" t="s">
        <v>309</v>
      </c>
      <c r="M1685" t="s">
        <v>72</v>
      </c>
      <c r="N1685" t="s">
        <v>199</v>
      </c>
    </row>
    <row r="1686" spans="1:14" x14ac:dyDescent="0.45">
      <c r="A1686">
        <v>1685</v>
      </c>
      <c r="B1686">
        <v>639</v>
      </c>
      <c r="C1686" t="s">
        <v>72</v>
      </c>
      <c r="D1686" t="s">
        <v>966</v>
      </c>
      <c r="E1686">
        <v>1000</v>
      </c>
      <c r="F1686" t="s">
        <v>77</v>
      </c>
      <c r="G1686" t="s">
        <v>78</v>
      </c>
      <c r="H1686" t="s">
        <v>218</v>
      </c>
      <c r="I1686">
        <v>3289</v>
      </c>
      <c r="J1686">
        <v>0</v>
      </c>
      <c r="K1686" t="s">
        <v>1009</v>
      </c>
      <c r="L1686" t="s">
        <v>309</v>
      </c>
      <c r="M1686" t="s">
        <v>74</v>
      </c>
      <c r="N1686" t="s">
        <v>199</v>
      </c>
    </row>
    <row r="1687" spans="1:14" x14ac:dyDescent="0.45">
      <c r="A1687">
        <v>1686</v>
      </c>
      <c r="B1687">
        <v>639</v>
      </c>
      <c r="C1687" t="s">
        <v>72</v>
      </c>
      <c r="D1687" t="s">
        <v>966</v>
      </c>
      <c r="E1687">
        <v>1300</v>
      </c>
      <c r="F1687" t="s">
        <v>84</v>
      </c>
      <c r="G1687" t="s">
        <v>78</v>
      </c>
      <c r="H1687" t="s">
        <v>261</v>
      </c>
      <c r="I1687">
        <v>0</v>
      </c>
      <c r="J1687">
        <v>3289</v>
      </c>
      <c r="K1687" t="s">
        <v>1009</v>
      </c>
      <c r="L1687" t="s">
        <v>309</v>
      </c>
      <c r="M1687" t="s">
        <v>74</v>
      </c>
      <c r="N1687" t="s">
        <v>199</v>
      </c>
    </row>
    <row r="1688" spans="1:14" x14ac:dyDescent="0.45">
      <c r="A1688">
        <v>1687</v>
      </c>
      <c r="B1688">
        <v>640</v>
      </c>
      <c r="C1688" t="s">
        <v>72</v>
      </c>
      <c r="D1688" t="s">
        <v>1010</v>
      </c>
      <c r="E1688">
        <v>1100</v>
      </c>
      <c r="F1688" t="s">
        <v>80</v>
      </c>
      <c r="G1688" t="s">
        <v>78</v>
      </c>
      <c r="H1688" t="s">
        <v>218</v>
      </c>
      <c r="I1688">
        <v>113863.1</v>
      </c>
      <c r="J1688">
        <v>0</v>
      </c>
      <c r="K1688" t="s">
        <v>1011</v>
      </c>
      <c r="L1688" t="s">
        <v>220</v>
      </c>
      <c r="N1688" t="s">
        <v>200</v>
      </c>
    </row>
    <row r="1689" spans="1:14" x14ac:dyDescent="0.45">
      <c r="A1689">
        <v>1688</v>
      </c>
      <c r="B1689">
        <v>640</v>
      </c>
      <c r="C1689" t="s">
        <v>72</v>
      </c>
      <c r="D1689" t="s">
        <v>1010</v>
      </c>
      <c r="E1689">
        <v>4010</v>
      </c>
      <c r="F1689" t="s">
        <v>101</v>
      </c>
      <c r="G1689" t="s">
        <v>99</v>
      </c>
      <c r="H1689" t="s">
        <v>218</v>
      </c>
      <c r="I1689">
        <v>0</v>
      </c>
      <c r="J1689">
        <v>47822.5</v>
      </c>
      <c r="K1689" t="s">
        <v>1011</v>
      </c>
      <c r="L1689" t="s">
        <v>220</v>
      </c>
      <c r="N1689" t="s">
        <v>200</v>
      </c>
    </row>
    <row r="1690" spans="1:14" x14ac:dyDescent="0.45">
      <c r="A1690">
        <v>1689</v>
      </c>
      <c r="B1690">
        <v>640</v>
      </c>
      <c r="C1690" t="s">
        <v>72</v>
      </c>
      <c r="D1690" t="s">
        <v>1010</v>
      </c>
      <c r="E1690">
        <v>4020</v>
      </c>
      <c r="F1690" t="s">
        <v>103</v>
      </c>
      <c r="G1690" t="s">
        <v>99</v>
      </c>
      <c r="H1690" t="s">
        <v>218</v>
      </c>
      <c r="I1690">
        <v>0</v>
      </c>
      <c r="J1690">
        <v>37574.82</v>
      </c>
      <c r="K1690" t="s">
        <v>1011</v>
      </c>
      <c r="L1690" t="s">
        <v>220</v>
      </c>
      <c r="N1690" t="s">
        <v>200</v>
      </c>
    </row>
    <row r="1691" spans="1:14" x14ac:dyDescent="0.45">
      <c r="A1691">
        <v>1690</v>
      </c>
      <c r="B1691">
        <v>640</v>
      </c>
      <c r="C1691" t="s">
        <v>72</v>
      </c>
      <c r="D1691" t="s">
        <v>1010</v>
      </c>
      <c r="E1691">
        <v>4030</v>
      </c>
      <c r="F1691" t="s">
        <v>105</v>
      </c>
      <c r="G1691" t="s">
        <v>99</v>
      </c>
      <c r="H1691" t="s">
        <v>218</v>
      </c>
      <c r="I1691">
        <v>0</v>
      </c>
      <c r="J1691">
        <v>28465.78</v>
      </c>
      <c r="K1691" t="s">
        <v>1011</v>
      </c>
      <c r="L1691" t="s">
        <v>220</v>
      </c>
      <c r="N1691" t="s">
        <v>200</v>
      </c>
    </row>
    <row r="1692" spans="1:14" x14ac:dyDescent="0.45">
      <c r="A1692">
        <v>1691</v>
      </c>
      <c r="B1692">
        <v>641</v>
      </c>
      <c r="C1692" t="s">
        <v>72</v>
      </c>
      <c r="D1692" t="s">
        <v>1012</v>
      </c>
      <c r="E1692">
        <v>1000</v>
      </c>
      <c r="F1692" t="s">
        <v>77</v>
      </c>
      <c r="G1692" t="s">
        <v>78</v>
      </c>
      <c r="H1692" t="s">
        <v>218</v>
      </c>
      <c r="I1692">
        <v>106994.29</v>
      </c>
      <c r="J1692">
        <v>0</v>
      </c>
      <c r="K1692" t="s">
        <v>1013</v>
      </c>
      <c r="L1692" t="s">
        <v>223</v>
      </c>
      <c r="N1692" t="s">
        <v>200</v>
      </c>
    </row>
    <row r="1693" spans="1:14" x14ac:dyDescent="0.45">
      <c r="A1693">
        <v>1692</v>
      </c>
      <c r="B1693">
        <v>641</v>
      </c>
      <c r="C1693" t="s">
        <v>72</v>
      </c>
      <c r="D1693" t="s">
        <v>1012</v>
      </c>
      <c r="E1693">
        <v>1100</v>
      </c>
      <c r="F1693" t="s">
        <v>80</v>
      </c>
      <c r="G1693" t="s">
        <v>78</v>
      </c>
      <c r="H1693" t="s">
        <v>218</v>
      </c>
      <c r="I1693">
        <v>0</v>
      </c>
      <c r="J1693">
        <v>106994.29</v>
      </c>
      <c r="K1693" t="s">
        <v>1013</v>
      </c>
      <c r="L1693" t="s">
        <v>223</v>
      </c>
      <c r="N1693" t="s">
        <v>200</v>
      </c>
    </row>
    <row r="1694" spans="1:14" x14ac:dyDescent="0.45">
      <c r="A1694">
        <v>1693</v>
      </c>
      <c r="B1694">
        <v>642</v>
      </c>
      <c r="C1694" t="s">
        <v>72</v>
      </c>
      <c r="D1694" t="s">
        <v>1014</v>
      </c>
      <c r="E1694">
        <v>5010</v>
      </c>
      <c r="F1694" t="s">
        <v>112</v>
      </c>
      <c r="G1694" t="s">
        <v>110</v>
      </c>
      <c r="H1694" t="s">
        <v>218</v>
      </c>
      <c r="I1694">
        <v>6466.68</v>
      </c>
      <c r="J1694">
        <v>0</v>
      </c>
      <c r="K1694" t="s">
        <v>1015</v>
      </c>
      <c r="L1694" t="s">
        <v>226</v>
      </c>
      <c r="N1694" t="s">
        <v>200</v>
      </c>
    </row>
    <row r="1695" spans="1:14" x14ac:dyDescent="0.45">
      <c r="A1695">
        <v>1694</v>
      </c>
      <c r="B1695">
        <v>642</v>
      </c>
      <c r="C1695" t="s">
        <v>72</v>
      </c>
      <c r="D1695" t="s">
        <v>1014</v>
      </c>
      <c r="E1695">
        <v>5020</v>
      </c>
      <c r="F1695" t="s">
        <v>114</v>
      </c>
      <c r="G1695" t="s">
        <v>110</v>
      </c>
      <c r="H1695" t="s">
        <v>218</v>
      </c>
      <c r="I1695">
        <v>5290.92</v>
      </c>
      <c r="J1695">
        <v>0</v>
      </c>
      <c r="K1695" t="s">
        <v>1015</v>
      </c>
      <c r="L1695" t="s">
        <v>226</v>
      </c>
      <c r="N1695" t="s">
        <v>200</v>
      </c>
    </row>
    <row r="1696" spans="1:14" x14ac:dyDescent="0.45">
      <c r="A1696">
        <v>1695</v>
      </c>
      <c r="B1696">
        <v>642</v>
      </c>
      <c r="C1696" t="s">
        <v>72</v>
      </c>
      <c r="D1696" t="s">
        <v>1014</v>
      </c>
      <c r="E1696">
        <v>1000</v>
      </c>
      <c r="F1696" t="s">
        <v>77</v>
      </c>
      <c r="G1696" t="s">
        <v>78</v>
      </c>
      <c r="H1696" t="s">
        <v>218</v>
      </c>
      <c r="I1696">
        <v>0</v>
      </c>
      <c r="J1696">
        <v>8230.32</v>
      </c>
      <c r="K1696" t="s">
        <v>1015</v>
      </c>
      <c r="L1696" t="s">
        <v>226</v>
      </c>
      <c r="N1696" t="s">
        <v>200</v>
      </c>
    </row>
    <row r="1697" spans="1:14" x14ac:dyDescent="0.45">
      <c r="A1697">
        <v>1696</v>
      </c>
      <c r="B1697">
        <v>642</v>
      </c>
      <c r="C1697" t="s">
        <v>72</v>
      </c>
      <c r="D1697" t="s">
        <v>1014</v>
      </c>
      <c r="E1697">
        <v>2000</v>
      </c>
      <c r="F1697" t="s">
        <v>88</v>
      </c>
      <c r="G1697" t="s">
        <v>89</v>
      </c>
      <c r="H1697" t="s">
        <v>218</v>
      </c>
      <c r="I1697">
        <v>0</v>
      </c>
      <c r="J1697">
        <v>3527.28</v>
      </c>
      <c r="K1697" t="s">
        <v>1015</v>
      </c>
      <c r="L1697" t="s">
        <v>226</v>
      </c>
      <c r="N1697" t="s">
        <v>200</v>
      </c>
    </row>
    <row r="1698" spans="1:14" x14ac:dyDescent="0.45">
      <c r="A1698">
        <v>1697</v>
      </c>
      <c r="B1698">
        <v>643</v>
      </c>
      <c r="C1698" t="s">
        <v>72</v>
      </c>
      <c r="D1698" t="s">
        <v>1016</v>
      </c>
      <c r="E1698">
        <v>6010</v>
      </c>
      <c r="F1698" t="s">
        <v>119</v>
      </c>
      <c r="G1698" t="s">
        <v>117</v>
      </c>
      <c r="H1698" t="s">
        <v>218</v>
      </c>
      <c r="I1698">
        <v>49364</v>
      </c>
      <c r="J1698">
        <v>0</v>
      </c>
      <c r="K1698" t="s">
        <v>1017</v>
      </c>
      <c r="L1698" t="s">
        <v>229</v>
      </c>
      <c r="N1698" t="s">
        <v>200</v>
      </c>
    </row>
    <row r="1699" spans="1:14" x14ac:dyDescent="0.45">
      <c r="A1699">
        <v>1698</v>
      </c>
      <c r="B1699">
        <v>643</v>
      </c>
      <c r="C1699" t="s">
        <v>72</v>
      </c>
      <c r="D1699" t="s">
        <v>1016</v>
      </c>
      <c r="E1699">
        <v>6020</v>
      </c>
      <c r="F1699" t="s">
        <v>121</v>
      </c>
      <c r="G1699" t="s">
        <v>117</v>
      </c>
      <c r="H1699" t="s">
        <v>218</v>
      </c>
      <c r="I1699">
        <v>6910.96</v>
      </c>
      <c r="J1699">
        <v>0</v>
      </c>
      <c r="K1699" t="s">
        <v>1017</v>
      </c>
      <c r="L1699" t="s">
        <v>229</v>
      </c>
      <c r="N1699" t="s">
        <v>200</v>
      </c>
    </row>
    <row r="1700" spans="1:14" x14ac:dyDescent="0.45">
      <c r="A1700">
        <v>1699</v>
      </c>
      <c r="B1700">
        <v>643</v>
      </c>
      <c r="C1700" t="s">
        <v>72</v>
      </c>
      <c r="D1700" t="s">
        <v>1016</v>
      </c>
      <c r="E1700">
        <v>1000</v>
      </c>
      <c r="F1700" t="s">
        <v>77</v>
      </c>
      <c r="G1700" t="s">
        <v>78</v>
      </c>
      <c r="H1700" t="s">
        <v>218</v>
      </c>
      <c r="I1700">
        <v>0</v>
      </c>
      <c r="J1700">
        <v>56218.87</v>
      </c>
      <c r="K1700" t="s">
        <v>1017</v>
      </c>
      <c r="L1700" t="s">
        <v>229</v>
      </c>
      <c r="N1700" t="s">
        <v>200</v>
      </c>
    </row>
    <row r="1701" spans="1:14" x14ac:dyDescent="0.45">
      <c r="A1701">
        <v>1700</v>
      </c>
      <c r="B1701">
        <v>643</v>
      </c>
      <c r="C1701" t="s">
        <v>72</v>
      </c>
      <c r="D1701" t="s">
        <v>1016</v>
      </c>
      <c r="E1701">
        <v>2100</v>
      </c>
      <c r="F1701" t="s">
        <v>91</v>
      </c>
      <c r="G1701" t="s">
        <v>89</v>
      </c>
      <c r="H1701" t="s">
        <v>218</v>
      </c>
      <c r="I1701">
        <v>0</v>
      </c>
      <c r="J1701">
        <v>5627.5</v>
      </c>
      <c r="K1701" t="s">
        <v>1017</v>
      </c>
      <c r="L1701" t="s">
        <v>229</v>
      </c>
      <c r="N1701" t="s">
        <v>200</v>
      </c>
    </row>
    <row r="1702" spans="1:14" x14ac:dyDescent="0.45">
      <c r="A1702">
        <v>1701</v>
      </c>
      <c r="B1702">
        <v>643</v>
      </c>
      <c r="C1702" t="s">
        <v>72</v>
      </c>
      <c r="D1702" t="s">
        <v>1016</v>
      </c>
      <c r="E1702">
        <v>2100</v>
      </c>
      <c r="F1702" t="s">
        <v>91</v>
      </c>
      <c r="G1702" t="s">
        <v>89</v>
      </c>
      <c r="H1702" t="s">
        <v>218</v>
      </c>
      <c r="I1702">
        <v>5571.41</v>
      </c>
      <c r="J1702">
        <v>0</v>
      </c>
      <c r="K1702" t="s">
        <v>1017</v>
      </c>
      <c r="L1702" t="s">
        <v>229</v>
      </c>
      <c r="N1702" t="s">
        <v>200</v>
      </c>
    </row>
    <row r="1703" spans="1:14" x14ac:dyDescent="0.45">
      <c r="A1703">
        <v>1702</v>
      </c>
      <c r="B1703">
        <v>644</v>
      </c>
      <c r="C1703" t="s">
        <v>72</v>
      </c>
      <c r="D1703" t="s">
        <v>1018</v>
      </c>
      <c r="E1703">
        <v>6030</v>
      </c>
      <c r="F1703" t="s">
        <v>123</v>
      </c>
      <c r="G1703" t="s">
        <v>117</v>
      </c>
      <c r="H1703" t="s">
        <v>218</v>
      </c>
      <c r="I1703">
        <v>7378</v>
      </c>
      <c r="J1703">
        <v>0</v>
      </c>
      <c r="K1703" t="s">
        <v>1019</v>
      </c>
      <c r="L1703" t="s">
        <v>232</v>
      </c>
      <c r="N1703" t="s">
        <v>200</v>
      </c>
    </row>
    <row r="1704" spans="1:14" x14ac:dyDescent="0.45">
      <c r="A1704">
        <v>1703</v>
      </c>
      <c r="B1704">
        <v>644</v>
      </c>
      <c r="C1704" t="s">
        <v>72</v>
      </c>
      <c r="D1704" t="s">
        <v>1018</v>
      </c>
      <c r="E1704">
        <v>1000</v>
      </c>
      <c r="F1704" t="s">
        <v>77</v>
      </c>
      <c r="G1704" t="s">
        <v>78</v>
      </c>
      <c r="H1704" t="s">
        <v>218</v>
      </c>
      <c r="I1704">
        <v>0</v>
      </c>
      <c r="J1704">
        <v>7378</v>
      </c>
      <c r="K1704" t="s">
        <v>1019</v>
      </c>
      <c r="L1704" t="s">
        <v>232</v>
      </c>
      <c r="N1704" t="s">
        <v>200</v>
      </c>
    </row>
    <row r="1705" spans="1:14" x14ac:dyDescent="0.45">
      <c r="A1705">
        <v>1704</v>
      </c>
      <c r="B1705">
        <v>645</v>
      </c>
      <c r="C1705" t="s">
        <v>72</v>
      </c>
      <c r="D1705" t="s">
        <v>1020</v>
      </c>
      <c r="E1705">
        <v>6040</v>
      </c>
      <c r="F1705" t="s">
        <v>125</v>
      </c>
      <c r="G1705" t="s">
        <v>117</v>
      </c>
      <c r="H1705" t="s">
        <v>218</v>
      </c>
      <c r="I1705">
        <v>3289.42</v>
      </c>
      <c r="J1705">
        <v>0</v>
      </c>
      <c r="K1705" t="s">
        <v>1021</v>
      </c>
      <c r="L1705" t="s">
        <v>226</v>
      </c>
      <c r="N1705" t="s">
        <v>200</v>
      </c>
    </row>
    <row r="1706" spans="1:14" x14ac:dyDescent="0.45">
      <c r="A1706">
        <v>1705</v>
      </c>
      <c r="B1706">
        <v>645</v>
      </c>
      <c r="C1706" t="s">
        <v>72</v>
      </c>
      <c r="D1706" t="s">
        <v>1020</v>
      </c>
      <c r="E1706">
        <v>1000</v>
      </c>
      <c r="F1706" t="s">
        <v>77</v>
      </c>
      <c r="G1706" t="s">
        <v>78</v>
      </c>
      <c r="H1706" t="s">
        <v>218</v>
      </c>
      <c r="I1706">
        <v>0</v>
      </c>
      <c r="J1706">
        <v>2631.54</v>
      </c>
      <c r="K1706" t="s">
        <v>1021</v>
      </c>
      <c r="L1706" t="s">
        <v>226</v>
      </c>
      <c r="N1706" t="s">
        <v>200</v>
      </c>
    </row>
    <row r="1707" spans="1:14" x14ac:dyDescent="0.45">
      <c r="A1707">
        <v>1706</v>
      </c>
      <c r="B1707">
        <v>645</v>
      </c>
      <c r="C1707" t="s">
        <v>72</v>
      </c>
      <c r="D1707" t="s">
        <v>1020</v>
      </c>
      <c r="E1707">
        <v>2000</v>
      </c>
      <c r="F1707" t="s">
        <v>88</v>
      </c>
      <c r="G1707" t="s">
        <v>89</v>
      </c>
      <c r="H1707" t="s">
        <v>218</v>
      </c>
      <c r="I1707">
        <v>0</v>
      </c>
      <c r="J1707">
        <v>657.88</v>
      </c>
      <c r="K1707" t="s">
        <v>1021</v>
      </c>
      <c r="L1707" t="s">
        <v>226</v>
      </c>
      <c r="N1707" t="s">
        <v>200</v>
      </c>
    </row>
    <row r="1708" spans="1:14" x14ac:dyDescent="0.45">
      <c r="A1708">
        <v>1707</v>
      </c>
      <c r="B1708">
        <v>646</v>
      </c>
      <c r="C1708" t="s">
        <v>72</v>
      </c>
      <c r="D1708" t="s">
        <v>1018</v>
      </c>
      <c r="E1708">
        <v>6050</v>
      </c>
      <c r="F1708" t="s">
        <v>127</v>
      </c>
      <c r="G1708" t="s">
        <v>117</v>
      </c>
      <c r="H1708" t="s">
        <v>218</v>
      </c>
      <c r="I1708">
        <v>1450</v>
      </c>
      <c r="J1708">
        <v>0</v>
      </c>
      <c r="K1708" t="s">
        <v>1022</v>
      </c>
      <c r="L1708" t="s">
        <v>236</v>
      </c>
      <c r="N1708" t="s">
        <v>200</v>
      </c>
    </row>
    <row r="1709" spans="1:14" x14ac:dyDescent="0.45">
      <c r="A1709">
        <v>1708</v>
      </c>
      <c r="B1709">
        <v>646</v>
      </c>
      <c r="C1709" t="s">
        <v>72</v>
      </c>
      <c r="D1709" t="s">
        <v>1018</v>
      </c>
      <c r="E1709">
        <v>1200</v>
      </c>
      <c r="F1709" t="s">
        <v>82</v>
      </c>
      <c r="G1709" t="s">
        <v>78</v>
      </c>
      <c r="H1709" t="s">
        <v>218</v>
      </c>
      <c r="I1709">
        <v>0</v>
      </c>
      <c r="J1709">
        <v>1450</v>
      </c>
      <c r="K1709" t="s">
        <v>1022</v>
      </c>
      <c r="L1709" t="s">
        <v>236</v>
      </c>
      <c r="N1709" t="s">
        <v>200</v>
      </c>
    </row>
    <row r="1710" spans="1:14" x14ac:dyDescent="0.45">
      <c r="A1710">
        <v>1709</v>
      </c>
      <c r="B1710">
        <v>647</v>
      </c>
      <c r="C1710" t="s">
        <v>72</v>
      </c>
      <c r="D1710" t="s">
        <v>1023</v>
      </c>
      <c r="E1710">
        <v>6060</v>
      </c>
      <c r="F1710" t="s">
        <v>129</v>
      </c>
      <c r="G1710" t="s">
        <v>117</v>
      </c>
      <c r="H1710" t="s">
        <v>218</v>
      </c>
      <c r="I1710">
        <v>2457</v>
      </c>
      <c r="J1710">
        <v>0</v>
      </c>
      <c r="K1710" t="s">
        <v>1024</v>
      </c>
      <c r="L1710" t="s">
        <v>232</v>
      </c>
      <c r="N1710" t="s">
        <v>200</v>
      </c>
    </row>
    <row r="1711" spans="1:14" x14ac:dyDescent="0.45">
      <c r="A1711">
        <v>1710</v>
      </c>
      <c r="B1711">
        <v>647</v>
      </c>
      <c r="C1711" t="s">
        <v>72</v>
      </c>
      <c r="D1711" t="s">
        <v>1023</v>
      </c>
      <c r="E1711">
        <v>1000</v>
      </c>
      <c r="F1711" t="s">
        <v>77</v>
      </c>
      <c r="G1711" t="s">
        <v>78</v>
      </c>
      <c r="H1711" t="s">
        <v>218</v>
      </c>
      <c r="I1711">
        <v>0</v>
      </c>
      <c r="J1711">
        <v>2457</v>
      </c>
      <c r="K1711" t="s">
        <v>1024</v>
      </c>
      <c r="L1711" t="s">
        <v>232</v>
      </c>
      <c r="N1711" t="s">
        <v>200</v>
      </c>
    </row>
    <row r="1712" spans="1:14" x14ac:dyDescent="0.45">
      <c r="A1712">
        <v>1711</v>
      </c>
      <c r="B1712">
        <v>648</v>
      </c>
      <c r="C1712" t="s">
        <v>72</v>
      </c>
      <c r="D1712" t="s">
        <v>1016</v>
      </c>
      <c r="E1712">
        <v>7000</v>
      </c>
      <c r="F1712" t="s">
        <v>133</v>
      </c>
      <c r="G1712" t="s">
        <v>117</v>
      </c>
      <c r="H1712" t="s">
        <v>218</v>
      </c>
      <c r="I1712">
        <v>1100</v>
      </c>
      <c r="J1712">
        <v>0</v>
      </c>
      <c r="K1712" t="s">
        <v>1025</v>
      </c>
      <c r="L1712" t="s">
        <v>241</v>
      </c>
      <c r="N1712" t="s">
        <v>200</v>
      </c>
    </row>
    <row r="1713" spans="1:14" x14ac:dyDescent="0.45">
      <c r="A1713">
        <v>1712</v>
      </c>
      <c r="B1713">
        <v>648</v>
      </c>
      <c r="C1713" t="s">
        <v>72</v>
      </c>
      <c r="D1713" t="s">
        <v>1016</v>
      </c>
      <c r="E1713">
        <v>1500</v>
      </c>
      <c r="F1713" t="s">
        <v>86</v>
      </c>
      <c r="G1713" t="s">
        <v>78</v>
      </c>
      <c r="H1713" t="s">
        <v>218</v>
      </c>
      <c r="I1713">
        <v>0</v>
      </c>
      <c r="J1713">
        <v>1100</v>
      </c>
      <c r="K1713" t="s">
        <v>1025</v>
      </c>
      <c r="L1713" t="s">
        <v>241</v>
      </c>
      <c r="N1713" t="s">
        <v>200</v>
      </c>
    </row>
    <row r="1714" spans="1:14" x14ac:dyDescent="0.45">
      <c r="A1714">
        <v>1713</v>
      </c>
      <c r="B1714">
        <v>649</v>
      </c>
      <c r="C1714" t="s">
        <v>72</v>
      </c>
      <c r="D1714" t="s">
        <v>1026</v>
      </c>
      <c r="E1714">
        <v>2000</v>
      </c>
      <c r="F1714" t="s">
        <v>88</v>
      </c>
      <c r="G1714" t="s">
        <v>89</v>
      </c>
      <c r="H1714" t="s">
        <v>218</v>
      </c>
      <c r="I1714">
        <v>4111.47</v>
      </c>
      <c r="J1714">
        <v>0</v>
      </c>
      <c r="K1714" t="s">
        <v>1027</v>
      </c>
      <c r="L1714" t="s">
        <v>232</v>
      </c>
      <c r="N1714" t="s">
        <v>200</v>
      </c>
    </row>
    <row r="1715" spans="1:14" x14ac:dyDescent="0.45">
      <c r="A1715">
        <v>1714</v>
      </c>
      <c r="B1715">
        <v>649</v>
      </c>
      <c r="C1715" t="s">
        <v>72</v>
      </c>
      <c r="D1715" t="s">
        <v>1026</v>
      </c>
      <c r="E1715">
        <v>1000</v>
      </c>
      <c r="F1715" t="s">
        <v>77</v>
      </c>
      <c r="G1715" t="s">
        <v>78</v>
      </c>
      <c r="H1715" t="s">
        <v>218</v>
      </c>
      <c r="I1715">
        <v>0</v>
      </c>
      <c r="J1715">
        <v>4111.47</v>
      </c>
      <c r="K1715" t="s">
        <v>1027</v>
      </c>
      <c r="L1715" t="s">
        <v>232</v>
      </c>
      <c r="N1715" t="s">
        <v>200</v>
      </c>
    </row>
    <row r="1716" spans="1:14" x14ac:dyDescent="0.45">
      <c r="A1716">
        <v>1715</v>
      </c>
      <c r="B1716">
        <v>650</v>
      </c>
      <c r="C1716" t="s">
        <v>73</v>
      </c>
      <c r="D1716" t="s">
        <v>1010</v>
      </c>
      <c r="E1716">
        <v>1100</v>
      </c>
      <c r="F1716" t="s">
        <v>80</v>
      </c>
      <c r="G1716" t="s">
        <v>78</v>
      </c>
      <c r="H1716" t="s">
        <v>218</v>
      </c>
      <c r="I1716">
        <v>69904.78</v>
      </c>
      <c r="J1716">
        <v>0</v>
      </c>
      <c r="K1716" t="s">
        <v>1028</v>
      </c>
      <c r="L1716" t="s">
        <v>220</v>
      </c>
      <c r="N1716" t="s">
        <v>200</v>
      </c>
    </row>
    <row r="1717" spans="1:14" x14ac:dyDescent="0.45">
      <c r="A1717">
        <v>1716</v>
      </c>
      <c r="B1717">
        <v>650</v>
      </c>
      <c r="C1717" t="s">
        <v>73</v>
      </c>
      <c r="D1717" t="s">
        <v>1010</v>
      </c>
      <c r="E1717">
        <v>4010</v>
      </c>
      <c r="F1717" t="s">
        <v>101</v>
      </c>
      <c r="G1717" t="s">
        <v>99</v>
      </c>
      <c r="H1717" t="s">
        <v>218</v>
      </c>
      <c r="I1717">
        <v>0</v>
      </c>
      <c r="J1717">
        <v>29360.01</v>
      </c>
      <c r="K1717" t="s">
        <v>1028</v>
      </c>
      <c r="L1717" t="s">
        <v>220</v>
      </c>
      <c r="N1717" t="s">
        <v>200</v>
      </c>
    </row>
    <row r="1718" spans="1:14" x14ac:dyDescent="0.45">
      <c r="A1718">
        <v>1717</v>
      </c>
      <c r="B1718">
        <v>650</v>
      </c>
      <c r="C1718" t="s">
        <v>73</v>
      </c>
      <c r="D1718" t="s">
        <v>1010</v>
      </c>
      <c r="E1718">
        <v>4020</v>
      </c>
      <c r="F1718" t="s">
        <v>103</v>
      </c>
      <c r="G1718" t="s">
        <v>99</v>
      </c>
      <c r="H1718" t="s">
        <v>218</v>
      </c>
      <c r="I1718">
        <v>0</v>
      </c>
      <c r="J1718">
        <v>23068.58</v>
      </c>
      <c r="K1718" t="s">
        <v>1028</v>
      </c>
      <c r="L1718" t="s">
        <v>220</v>
      </c>
      <c r="N1718" t="s">
        <v>200</v>
      </c>
    </row>
    <row r="1719" spans="1:14" x14ac:dyDescent="0.45">
      <c r="A1719">
        <v>1718</v>
      </c>
      <c r="B1719">
        <v>650</v>
      </c>
      <c r="C1719" t="s">
        <v>73</v>
      </c>
      <c r="D1719" t="s">
        <v>1010</v>
      </c>
      <c r="E1719">
        <v>4030</v>
      </c>
      <c r="F1719" t="s">
        <v>105</v>
      </c>
      <c r="G1719" t="s">
        <v>99</v>
      </c>
      <c r="H1719" t="s">
        <v>218</v>
      </c>
      <c r="I1719">
        <v>0</v>
      </c>
      <c r="J1719">
        <v>17476.189999999999</v>
      </c>
      <c r="K1719" t="s">
        <v>1028</v>
      </c>
      <c r="L1719" t="s">
        <v>220</v>
      </c>
      <c r="N1719" t="s">
        <v>200</v>
      </c>
    </row>
    <row r="1720" spans="1:14" x14ac:dyDescent="0.45">
      <c r="A1720">
        <v>1719</v>
      </c>
      <c r="B1720">
        <v>651</v>
      </c>
      <c r="C1720" t="s">
        <v>73</v>
      </c>
      <c r="D1720" t="s">
        <v>1012</v>
      </c>
      <c r="E1720">
        <v>1000</v>
      </c>
      <c r="F1720" t="s">
        <v>77</v>
      </c>
      <c r="G1720" t="s">
        <v>78</v>
      </c>
      <c r="H1720" t="s">
        <v>218</v>
      </c>
      <c r="I1720">
        <v>64224.03</v>
      </c>
      <c r="J1720">
        <v>0</v>
      </c>
      <c r="K1720" t="s">
        <v>1029</v>
      </c>
      <c r="L1720" t="s">
        <v>223</v>
      </c>
      <c r="N1720" t="s">
        <v>200</v>
      </c>
    </row>
    <row r="1721" spans="1:14" x14ac:dyDescent="0.45">
      <c r="A1721">
        <v>1720</v>
      </c>
      <c r="B1721">
        <v>651</v>
      </c>
      <c r="C1721" t="s">
        <v>73</v>
      </c>
      <c r="D1721" t="s">
        <v>1012</v>
      </c>
      <c r="E1721">
        <v>1100</v>
      </c>
      <c r="F1721" t="s">
        <v>80</v>
      </c>
      <c r="G1721" t="s">
        <v>78</v>
      </c>
      <c r="H1721" t="s">
        <v>218</v>
      </c>
      <c r="I1721">
        <v>0</v>
      </c>
      <c r="J1721">
        <v>64224.03</v>
      </c>
      <c r="K1721" t="s">
        <v>1029</v>
      </c>
      <c r="L1721" t="s">
        <v>223</v>
      </c>
      <c r="N1721" t="s">
        <v>200</v>
      </c>
    </row>
    <row r="1722" spans="1:14" x14ac:dyDescent="0.45">
      <c r="A1722">
        <v>1721</v>
      </c>
      <c r="B1722">
        <v>652</v>
      </c>
      <c r="C1722" t="s">
        <v>73</v>
      </c>
      <c r="D1722" t="s">
        <v>1014</v>
      </c>
      <c r="E1722">
        <v>5010</v>
      </c>
      <c r="F1722" t="s">
        <v>112</v>
      </c>
      <c r="G1722" t="s">
        <v>110</v>
      </c>
      <c r="H1722" t="s">
        <v>218</v>
      </c>
      <c r="I1722">
        <v>3970.14</v>
      </c>
      <c r="J1722">
        <v>0</v>
      </c>
      <c r="K1722" t="s">
        <v>1030</v>
      </c>
      <c r="L1722" t="s">
        <v>226</v>
      </c>
      <c r="N1722" t="s">
        <v>200</v>
      </c>
    </row>
    <row r="1723" spans="1:14" x14ac:dyDescent="0.45">
      <c r="A1723">
        <v>1722</v>
      </c>
      <c r="B1723">
        <v>652</v>
      </c>
      <c r="C1723" t="s">
        <v>73</v>
      </c>
      <c r="D1723" t="s">
        <v>1014</v>
      </c>
      <c r="E1723">
        <v>5020</v>
      </c>
      <c r="F1723" t="s">
        <v>114</v>
      </c>
      <c r="G1723" t="s">
        <v>110</v>
      </c>
      <c r="H1723" t="s">
        <v>218</v>
      </c>
      <c r="I1723">
        <v>3248.29</v>
      </c>
      <c r="J1723">
        <v>0</v>
      </c>
      <c r="K1723" t="s">
        <v>1030</v>
      </c>
      <c r="L1723" t="s">
        <v>226</v>
      </c>
      <c r="N1723" t="s">
        <v>200</v>
      </c>
    </row>
    <row r="1724" spans="1:14" x14ac:dyDescent="0.45">
      <c r="A1724">
        <v>1723</v>
      </c>
      <c r="B1724">
        <v>652</v>
      </c>
      <c r="C1724" t="s">
        <v>73</v>
      </c>
      <c r="D1724" t="s">
        <v>1014</v>
      </c>
      <c r="E1724">
        <v>1000</v>
      </c>
      <c r="F1724" t="s">
        <v>77</v>
      </c>
      <c r="G1724" t="s">
        <v>78</v>
      </c>
      <c r="H1724" t="s">
        <v>218</v>
      </c>
      <c r="I1724">
        <v>0</v>
      </c>
      <c r="J1724">
        <v>5052.8999999999996</v>
      </c>
      <c r="K1724" t="s">
        <v>1030</v>
      </c>
      <c r="L1724" t="s">
        <v>226</v>
      </c>
      <c r="N1724" t="s">
        <v>200</v>
      </c>
    </row>
    <row r="1725" spans="1:14" x14ac:dyDescent="0.45">
      <c r="A1725">
        <v>1724</v>
      </c>
      <c r="B1725">
        <v>652</v>
      </c>
      <c r="C1725" t="s">
        <v>73</v>
      </c>
      <c r="D1725" t="s">
        <v>1014</v>
      </c>
      <c r="E1725">
        <v>2000</v>
      </c>
      <c r="F1725" t="s">
        <v>88</v>
      </c>
      <c r="G1725" t="s">
        <v>89</v>
      </c>
      <c r="H1725" t="s">
        <v>218</v>
      </c>
      <c r="I1725">
        <v>0</v>
      </c>
      <c r="J1725">
        <v>2165.5300000000002</v>
      </c>
      <c r="K1725" t="s">
        <v>1030</v>
      </c>
      <c r="L1725" t="s">
        <v>226</v>
      </c>
      <c r="N1725" t="s">
        <v>200</v>
      </c>
    </row>
    <row r="1726" spans="1:14" x14ac:dyDescent="0.45">
      <c r="A1726">
        <v>1725</v>
      </c>
      <c r="B1726">
        <v>653</v>
      </c>
      <c r="C1726" t="s">
        <v>73</v>
      </c>
      <c r="D1726" t="s">
        <v>1016</v>
      </c>
      <c r="E1726">
        <v>6010</v>
      </c>
      <c r="F1726" t="s">
        <v>119</v>
      </c>
      <c r="G1726" t="s">
        <v>117</v>
      </c>
      <c r="H1726" t="s">
        <v>218</v>
      </c>
      <c r="I1726">
        <v>30605.68</v>
      </c>
      <c r="J1726">
        <v>0</v>
      </c>
      <c r="K1726" t="s">
        <v>1031</v>
      </c>
      <c r="L1726" t="s">
        <v>229</v>
      </c>
      <c r="N1726" t="s">
        <v>200</v>
      </c>
    </row>
    <row r="1727" spans="1:14" x14ac:dyDescent="0.45">
      <c r="A1727">
        <v>1726</v>
      </c>
      <c r="B1727">
        <v>653</v>
      </c>
      <c r="C1727" t="s">
        <v>73</v>
      </c>
      <c r="D1727" t="s">
        <v>1016</v>
      </c>
      <c r="E1727">
        <v>6020</v>
      </c>
      <c r="F1727" t="s">
        <v>121</v>
      </c>
      <c r="G1727" t="s">
        <v>117</v>
      </c>
      <c r="H1727" t="s">
        <v>218</v>
      </c>
      <c r="I1727">
        <v>4284.8</v>
      </c>
      <c r="J1727">
        <v>0</v>
      </c>
      <c r="K1727" t="s">
        <v>1031</v>
      </c>
      <c r="L1727" t="s">
        <v>229</v>
      </c>
      <c r="N1727" t="s">
        <v>200</v>
      </c>
    </row>
    <row r="1728" spans="1:14" x14ac:dyDescent="0.45">
      <c r="A1728">
        <v>1727</v>
      </c>
      <c r="B1728">
        <v>653</v>
      </c>
      <c r="C1728" t="s">
        <v>73</v>
      </c>
      <c r="D1728" t="s">
        <v>1016</v>
      </c>
      <c r="E1728">
        <v>1000</v>
      </c>
      <c r="F1728" t="s">
        <v>77</v>
      </c>
      <c r="G1728" t="s">
        <v>78</v>
      </c>
      <c r="H1728" t="s">
        <v>218</v>
      </c>
      <c r="I1728">
        <v>0</v>
      </c>
      <c r="J1728">
        <v>34855.699999999997</v>
      </c>
      <c r="K1728" t="s">
        <v>1031</v>
      </c>
      <c r="L1728" t="s">
        <v>229</v>
      </c>
      <c r="N1728" t="s">
        <v>200</v>
      </c>
    </row>
    <row r="1729" spans="1:14" x14ac:dyDescent="0.45">
      <c r="A1729">
        <v>1728</v>
      </c>
      <c r="B1729">
        <v>653</v>
      </c>
      <c r="C1729" t="s">
        <v>73</v>
      </c>
      <c r="D1729" t="s">
        <v>1016</v>
      </c>
      <c r="E1729">
        <v>2100</v>
      </c>
      <c r="F1729" t="s">
        <v>91</v>
      </c>
      <c r="G1729" t="s">
        <v>89</v>
      </c>
      <c r="H1729" t="s">
        <v>218</v>
      </c>
      <c r="I1729">
        <v>0</v>
      </c>
      <c r="J1729">
        <v>3489.05</v>
      </c>
      <c r="K1729" t="s">
        <v>1031</v>
      </c>
      <c r="L1729" t="s">
        <v>229</v>
      </c>
      <c r="N1729" t="s">
        <v>200</v>
      </c>
    </row>
    <row r="1730" spans="1:14" x14ac:dyDescent="0.45">
      <c r="A1730">
        <v>1729</v>
      </c>
      <c r="B1730">
        <v>653</v>
      </c>
      <c r="C1730" t="s">
        <v>73</v>
      </c>
      <c r="D1730" t="s">
        <v>1016</v>
      </c>
      <c r="E1730">
        <v>2100</v>
      </c>
      <c r="F1730" t="s">
        <v>91</v>
      </c>
      <c r="G1730" t="s">
        <v>89</v>
      </c>
      <c r="H1730" t="s">
        <v>218</v>
      </c>
      <c r="I1730">
        <v>3454.27</v>
      </c>
      <c r="J1730">
        <v>0</v>
      </c>
      <c r="K1730" t="s">
        <v>1031</v>
      </c>
      <c r="L1730" t="s">
        <v>229</v>
      </c>
      <c r="N1730" t="s">
        <v>200</v>
      </c>
    </row>
    <row r="1731" spans="1:14" x14ac:dyDescent="0.45">
      <c r="A1731">
        <v>1730</v>
      </c>
      <c r="B1731">
        <v>654</v>
      </c>
      <c r="C1731" t="s">
        <v>73</v>
      </c>
      <c r="D1731" t="s">
        <v>1018</v>
      </c>
      <c r="E1731">
        <v>6030</v>
      </c>
      <c r="F1731" t="s">
        <v>123</v>
      </c>
      <c r="G1731" t="s">
        <v>117</v>
      </c>
      <c r="H1731" t="s">
        <v>218</v>
      </c>
      <c r="I1731">
        <v>4574.3599999999997</v>
      </c>
      <c r="J1731">
        <v>0</v>
      </c>
      <c r="K1731" t="s">
        <v>1032</v>
      </c>
      <c r="L1731" t="s">
        <v>232</v>
      </c>
      <c r="N1731" t="s">
        <v>200</v>
      </c>
    </row>
    <row r="1732" spans="1:14" x14ac:dyDescent="0.45">
      <c r="A1732">
        <v>1731</v>
      </c>
      <c r="B1732">
        <v>654</v>
      </c>
      <c r="C1732" t="s">
        <v>73</v>
      </c>
      <c r="D1732" t="s">
        <v>1018</v>
      </c>
      <c r="E1732">
        <v>1000</v>
      </c>
      <c r="F1732" t="s">
        <v>77</v>
      </c>
      <c r="G1732" t="s">
        <v>78</v>
      </c>
      <c r="H1732" t="s">
        <v>218</v>
      </c>
      <c r="I1732">
        <v>0</v>
      </c>
      <c r="J1732">
        <v>4574.3599999999997</v>
      </c>
      <c r="K1732" t="s">
        <v>1032</v>
      </c>
      <c r="L1732" t="s">
        <v>232</v>
      </c>
      <c r="N1732" t="s">
        <v>200</v>
      </c>
    </row>
    <row r="1733" spans="1:14" x14ac:dyDescent="0.45">
      <c r="A1733">
        <v>1732</v>
      </c>
      <c r="B1733">
        <v>655</v>
      </c>
      <c r="C1733" t="s">
        <v>73</v>
      </c>
      <c r="D1733" t="s">
        <v>1020</v>
      </c>
      <c r="E1733">
        <v>6040</v>
      </c>
      <c r="F1733" t="s">
        <v>125</v>
      </c>
      <c r="G1733" t="s">
        <v>117</v>
      </c>
      <c r="H1733" t="s">
        <v>218</v>
      </c>
      <c r="I1733">
        <v>2019.49</v>
      </c>
      <c r="J1733">
        <v>0</v>
      </c>
      <c r="K1733" t="s">
        <v>1033</v>
      </c>
      <c r="L1733" t="s">
        <v>226</v>
      </c>
      <c r="N1733" t="s">
        <v>200</v>
      </c>
    </row>
    <row r="1734" spans="1:14" x14ac:dyDescent="0.45">
      <c r="A1734">
        <v>1733</v>
      </c>
      <c r="B1734">
        <v>655</v>
      </c>
      <c r="C1734" t="s">
        <v>73</v>
      </c>
      <c r="D1734" t="s">
        <v>1020</v>
      </c>
      <c r="E1734">
        <v>1000</v>
      </c>
      <c r="F1734" t="s">
        <v>77</v>
      </c>
      <c r="G1734" t="s">
        <v>78</v>
      </c>
      <c r="H1734" t="s">
        <v>218</v>
      </c>
      <c r="I1734">
        <v>0</v>
      </c>
      <c r="J1734">
        <v>1615.59</v>
      </c>
      <c r="K1734" t="s">
        <v>1033</v>
      </c>
      <c r="L1734" t="s">
        <v>226</v>
      </c>
      <c r="N1734" t="s">
        <v>200</v>
      </c>
    </row>
    <row r="1735" spans="1:14" x14ac:dyDescent="0.45">
      <c r="A1735">
        <v>1734</v>
      </c>
      <c r="B1735">
        <v>655</v>
      </c>
      <c r="C1735" t="s">
        <v>73</v>
      </c>
      <c r="D1735" t="s">
        <v>1020</v>
      </c>
      <c r="E1735">
        <v>2000</v>
      </c>
      <c r="F1735" t="s">
        <v>88</v>
      </c>
      <c r="G1735" t="s">
        <v>89</v>
      </c>
      <c r="H1735" t="s">
        <v>218</v>
      </c>
      <c r="I1735">
        <v>0</v>
      </c>
      <c r="J1735">
        <v>403.9</v>
      </c>
      <c r="K1735" t="s">
        <v>1033</v>
      </c>
      <c r="L1735" t="s">
        <v>226</v>
      </c>
      <c r="N1735" t="s">
        <v>200</v>
      </c>
    </row>
    <row r="1736" spans="1:14" x14ac:dyDescent="0.45">
      <c r="A1736">
        <v>1735</v>
      </c>
      <c r="B1736">
        <v>656</v>
      </c>
      <c r="C1736" t="s">
        <v>73</v>
      </c>
      <c r="D1736" t="s">
        <v>1018</v>
      </c>
      <c r="E1736">
        <v>6050</v>
      </c>
      <c r="F1736" t="s">
        <v>127</v>
      </c>
      <c r="G1736" t="s">
        <v>117</v>
      </c>
      <c r="H1736" t="s">
        <v>218</v>
      </c>
      <c r="I1736">
        <v>899</v>
      </c>
      <c r="J1736">
        <v>0</v>
      </c>
      <c r="K1736" t="s">
        <v>1034</v>
      </c>
      <c r="L1736" t="s">
        <v>236</v>
      </c>
      <c r="N1736" t="s">
        <v>200</v>
      </c>
    </row>
    <row r="1737" spans="1:14" x14ac:dyDescent="0.45">
      <c r="A1737">
        <v>1736</v>
      </c>
      <c r="B1737">
        <v>656</v>
      </c>
      <c r="C1737" t="s">
        <v>73</v>
      </c>
      <c r="D1737" t="s">
        <v>1018</v>
      </c>
      <c r="E1737">
        <v>1200</v>
      </c>
      <c r="F1737" t="s">
        <v>82</v>
      </c>
      <c r="G1737" t="s">
        <v>78</v>
      </c>
      <c r="H1737" t="s">
        <v>218</v>
      </c>
      <c r="I1737">
        <v>0</v>
      </c>
      <c r="J1737">
        <v>899</v>
      </c>
      <c r="K1737" t="s">
        <v>1034</v>
      </c>
      <c r="L1737" t="s">
        <v>236</v>
      </c>
      <c r="N1737" t="s">
        <v>200</v>
      </c>
    </row>
    <row r="1738" spans="1:14" x14ac:dyDescent="0.45">
      <c r="A1738">
        <v>1737</v>
      </c>
      <c r="B1738">
        <v>657</v>
      </c>
      <c r="C1738" t="s">
        <v>73</v>
      </c>
      <c r="D1738" t="s">
        <v>1023</v>
      </c>
      <c r="E1738">
        <v>6060</v>
      </c>
      <c r="F1738" t="s">
        <v>129</v>
      </c>
      <c r="G1738" t="s">
        <v>117</v>
      </c>
      <c r="H1738" t="s">
        <v>218</v>
      </c>
      <c r="I1738">
        <v>1523.34</v>
      </c>
      <c r="J1738">
        <v>0</v>
      </c>
      <c r="K1738" t="s">
        <v>1035</v>
      </c>
      <c r="L1738" t="s">
        <v>232</v>
      </c>
      <c r="N1738" t="s">
        <v>200</v>
      </c>
    </row>
    <row r="1739" spans="1:14" x14ac:dyDescent="0.45">
      <c r="A1739">
        <v>1738</v>
      </c>
      <c r="B1739">
        <v>657</v>
      </c>
      <c r="C1739" t="s">
        <v>73</v>
      </c>
      <c r="D1739" t="s">
        <v>1023</v>
      </c>
      <c r="E1739">
        <v>1000</v>
      </c>
      <c r="F1739" t="s">
        <v>77</v>
      </c>
      <c r="G1739" t="s">
        <v>78</v>
      </c>
      <c r="H1739" t="s">
        <v>218</v>
      </c>
      <c r="I1739">
        <v>0</v>
      </c>
      <c r="J1739">
        <v>1523.34</v>
      </c>
      <c r="K1739" t="s">
        <v>1035</v>
      </c>
      <c r="L1739" t="s">
        <v>232</v>
      </c>
      <c r="N1739" t="s">
        <v>200</v>
      </c>
    </row>
    <row r="1740" spans="1:14" x14ac:dyDescent="0.45">
      <c r="A1740">
        <v>1739</v>
      </c>
      <c r="B1740">
        <v>658</v>
      </c>
      <c r="C1740" t="s">
        <v>73</v>
      </c>
      <c r="D1740" t="s">
        <v>1016</v>
      </c>
      <c r="E1740">
        <v>7000</v>
      </c>
      <c r="F1740" t="s">
        <v>133</v>
      </c>
      <c r="G1740" t="s">
        <v>117</v>
      </c>
      <c r="H1740" t="s">
        <v>218</v>
      </c>
      <c r="I1740">
        <v>682</v>
      </c>
      <c r="J1740">
        <v>0</v>
      </c>
      <c r="K1740" t="s">
        <v>1036</v>
      </c>
      <c r="L1740" t="s">
        <v>241</v>
      </c>
      <c r="N1740" t="s">
        <v>200</v>
      </c>
    </row>
    <row r="1741" spans="1:14" x14ac:dyDescent="0.45">
      <c r="A1741">
        <v>1740</v>
      </c>
      <c r="B1741">
        <v>658</v>
      </c>
      <c r="C1741" t="s">
        <v>73</v>
      </c>
      <c r="D1741" t="s">
        <v>1016</v>
      </c>
      <c r="E1741">
        <v>1500</v>
      </c>
      <c r="F1741" t="s">
        <v>86</v>
      </c>
      <c r="G1741" t="s">
        <v>78</v>
      </c>
      <c r="H1741" t="s">
        <v>218</v>
      </c>
      <c r="I1741">
        <v>0</v>
      </c>
      <c r="J1741">
        <v>682</v>
      </c>
      <c r="K1741" t="s">
        <v>1036</v>
      </c>
      <c r="L1741" t="s">
        <v>241</v>
      </c>
      <c r="N1741" t="s">
        <v>200</v>
      </c>
    </row>
    <row r="1742" spans="1:14" x14ac:dyDescent="0.45">
      <c r="A1742">
        <v>1741</v>
      </c>
      <c r="B1742">
        <v>659</v>
      </c>
      <c r="C1742" t="s">
        <v>73</v>
      </c>
      <c r="D1742" t="s">
        <v>1026</v>
      </c>
      <c r="E1742">
        <v>2000</v>
      </c>
      <c r="F1742" t="s">
        <v>88</v>
      </c>
      <c r="G1742" t="s">
        <v>89</v>
      </c>
      <c r="H1742" t="s">
        <v>218</v>
      </c>
      <c r="I1742">
        <v>2461.4499999999998</v>
      </c>
      <c r="J1742">
        <v>0</v>
      </c>
      <c r="K1742" t="s">
        <v>1037</v>
      </c>
      <c r="L1742" t="s">
        <v>232</v>
      </c>
      <c r="N1742" t="s">
        <v>200</v>
      </c>
    </row>
    <row r="1743" spans="1:14" x14ac:dyDescent="0.45">
      <c r="A1743">
        <v>1742</v>
      </c>
      <c r="B1743">
        <v>659</v>
      </c>
      <c r="C1743" t="s">
        <v>73</v>
      </c>
      <c r="D1743" t="s">
        <v>1026</v>
      </c>
      <c r="E1743">
        <v>1000</v>
      </c>
      <c r="F1743" t="s">
        <v>77</v>
      </c>
      <c r="G1743" t="s">
        <v>78</v>
      </c>
      <c r="H1743" t="s">
        <v>218</v>
      </c>
      <c r="I1743">
        <v>0</v>
      </c>
      <c r="J1743">
        <v>2461.4499999999998</v>
      </c>
      <c r="K1743" t="s">
        <v>1037</v>
      </c>
      <c r="L1743" t="s">
        <v>232</v>
      </c>
      <c r="N1743" t="s">
        <v>200</v>
      </c>
    </row>
    <row r="1744" spans="1:14" x14ac:dyDescent="0.45">
      <c r="A1744">
        <v>1743</v>
      </c>
      <c r="B1744">
        <v>660</v>
      </c>
      <c r="C1744" t="s">
        <v>74</v>
      </c>
      <c r="D1744" t="s">
        <v>1010</v>
      </c>
      <c r="E1744">
        <v>1100</v>
      </c>
      <c r="F1744" t="s">
        <v>80</v>
      </c>
      <c r="G1744" t="s">
        <v>78</v>
      </c>
      <c r="H1744" t="s">
        <v>218</v>
      </c>
      <c r="I1744">
        <v>57235.199999999997</v>
      </c>
      <c r="J1744">
        <v>0</v>
      </c>
      <c r="K1744" t="s">
        <v>1038</v>
      </c>
      <c r="L1744" t="s">
        <v>220</v>
      </c>
      <c r="N1744" t="s">
        <v>200</v>
      </c>
    </row>
    <row r="1745" spans="1:14" x14ac:dyDescent="0.45">
      <c r="A1745">
        <v>1744</v>
      </c>
      <c r="B1745">
        <v>660</v>
      </c>
      <c r="C1745" t="s">
        <v>74</v>
      </c>
      <c r="D1745" t="s">
        <v>1010</v>
      </c>
      <c r="E1745">
        <v>4010</v>
      </c>
      <c r="F1745" t="s">
        <v>101</v>
      </c>
      <c r="G1745" t="s">
        <v>99</v>
      </c>
      <c r="H1745" t="s">
        <v>218</v>
      </c>
      <c r="I1745">
        <v>0</v>
      </c>
      <c r="J1745">
        <v>24038.78</v>
      </c>
      <c r="K1745" t="s">
        <v>1038</v>
      </c>
      <c r="L1745" t="s">
        <v>220</v>
      </c>
      <c r="N1745" t="s">
        <v>200</v>
      </c>
    </row>
    <row r="1746" spans="1:14" x14ac:dyDescent="0.45">
      <c r="A1746">
        <v>1745</v>
      </c>
      <c r="B1746">
        <v>660</v>
      </c>
      <c r="C1746" t="s">
        <v>74</v>
      </c>
      <c r="D1746" t="s">
        <v>1010</v>
      </c>
      <c r="E1746">
        <v>4020</v>
      </c>
      <c r="F1746" t="s">
        <v>103</v>
      </c>
      <c r="G1746" t="s">
        <v>99</v>
      </c>
      <c r="H1746" t="s">
        <v>218</v>
      </c>
      <c r="I1746">
        <v>0</v>
      </c>
      <c r="J1746">
        <v>18887.62</v>
      </c>
      <c r="K1746" t="s">
        <v>1038</v>
      </c>
      <c r="L1746" t="s">
        <v>220</v>
      </c>
      <c r="N1746" t="s">
        <v>200</v>
      </c>
    </row>
    <row r="1747" spans="1:14" x14ac:dyDescent="0.45">
      <c r="A1747">
        <v>1746</v>
      </c>
      <c r="B1747">
        <v>660</v>
      </c>
      <c r="C1747" t="s">
        <v>74</v>
      </c>
      <c r="D1747" t="s">
        <v>1010</v>
      </c>
      <c r="E1747">
        <v>4030</v>
      </c>
      <c r="F1747" t="s">
        <v>105</v>
      </c>
      <c r="G1747" t="s">
        <v>99</v>
      </c>
      <c r="H1747" t="s">
        <v>218</v>
      </c>
      <c r="I1747">
        <v>0</v>
      </c>
      <c r="J1747">
        <v>14308.8</v>
      </c>
      <c r="K1747" t="s">
        <v>1038</v>
      </c>
      <c r="L1747" t="s">
        <v>220</v>
      </c>
      <c r="N1747" t="s">
        <v>200</v>
      </c>
    </row>
    <row r="1748" spans="1:14" x14ac:dyDescent="0.45">
      <c r="A1748">
        <v>1747</v>
      </c>
      <c r="B1748">
        <v>661</v>
      </c>
      <c r="C1748" t="s">
        <v>74</v>
      </c>
      <c r="D1748" t="s">
        <v>1012</v>
      </c>
      <c r="E1748">
        <v>1000</v>
      </c>
      <c r="F1748" t="s">
        <v>77</v>
      </c>
      <c r="G1748" t="s">
        <v>78</v>
      </c>
      <c r="H1748" t="s">
        <v>218</v>
      </c>
      <c r="I1748">
        <v>54828.09</v>
      </c>
      <c r="J1748">
        <v>0</v>
      </c>
      <c r="K1748" t="s">
        <v>1039</v>
      </c>
      <c r="L1748" t="s">
        <v>223</v>
      </c>
      <c r="N1748" t="s">
        <v>200</v>
      </c>
    </row>
    <row r="1749" spans="1:14" x14ac:dyDescent="0.45">
      <c r="A1749">
        <v>1748</v>
      </c>
      <c r="B1749">
        <v>661</v>
      </c>
      <c r="C1749" t="s">
        <v>74</v>
      </c>
      <c r="D1749" t="s">
        <v>1012</v>
      </c>
      <c r="E1749">
        <v>1100</v>
      </c>
      <c r="F1749" t="s">
        <v>80</v>
      </c>
      <c r="G1749" t="s">
        <v>78</v>
      </c>
      <c r="H1749" t="s">
        <v>218</v>
      </c>
      <c r="I1749">
        <v>0</v>
      </c>
      <c r="J1749">
        <v>54828.09</v>
      </c>
      <c r="K1749" t="s">
        <v>1039</v>
      </c>
      <c r="L1749" t="s">
        <v>223</v>
      </c>
      <c r="N1749" t="s">
        <v>200</v>
      </c>
    </row>
    <row r="1750" spans="1:14" x14ac:dyDescent="0.45">
      <c r="A1750">
        <v>1749</v>
      </c>
      <c r="B1750">
        <v>662</v>
      </c>
      <c r="C1750" t="s">
        <v>74</v>
      </c>
      <c r="D1750" t="s">
        <v>1014</v>
      </c>
      <c r="E1750">
        <v>5010</v>
      </c>
      <c r="F1750" t="s">
        <v>112</v>
      </c>
      <c r="G1750" t="s">
        <v>110</v>
      </c>
      <c r="H1750" t="s">
        <v>218</v>
      </c>
      <c r="I1750">
        <v>3250.59</v>
      </c>
      <c r="J1750">
        <v>0</v>
      </c>
      <c r="K1750" t="s">
        <v>1040</v>
      </c>
      <c r="L1750" t="s">
        <v>226</v>
      </c>
      <c r="N1750" t="s">
        <v>200</v>
      </c>
    </row>
    <row r="1751" spans="1:14" x14ac:dyDescent="0.45">
      <c r="A1751">
        <v>1750</v>
      </c>
      <c r="B1751">
        <v>662</v>
      </c>
      <c r="C1751" t="s">
        <v>74</v>
      </c>
      <c r="D1751" t="s">
        <v>1014</v>
      </c>
      <c r="E1751">
        <v>5020</v>
      </c>
      <c r="F1751" t="s">
        <v>114</v>
      </c>
      <c r="G1751" t="s">
        <v>110</v>
      </c>
      <c r="H1751" t="s">
        <v>218</v>
      </c>
      <c r="I1751">
        <v>2659.57</v>
      </c>
      <c r="J1751">
        <v>0</v>
      </c>
      <c r="K1751" t="s">
        <v>1040</v>
      </c>
      <c r="L1751" t="s">
        <v>226</v>
      </c>
      <c r="N1751" t="s">
        <v>200</v>
      </c>
    </row>
    <row r="1752" spans="1:14" x14ac:dyDescent="0.45">
      <c r="A1752">
        <v>1751</v>
      </c>
      <c r="B1752">
        <v>662</v>
      </c>
      <c r="C1752" t="s">
        <v>74</v>
      </c>
      <c r="D1752" t="s">
        <v>1014</v>
      </c>
      <c r="E1752">
        <v>1000</v>
      </c>
      <c r="F1752" t="s">
        <v>77</v>
      </c>
      <c r="G1752" t="s">
        <v>78</v>
      </c>
      <c r="H1752" t="s">
        <v>218</v>
      </c>
      <c r="I1752">
        <v>0</v>
      </c>
      <c r="J1752">
        <v>4137.1099999999997</v>
      </c>
      <c r="K1752" t="s">
        <v>1040</v>
      </c>
      <c r="L1752" t="s">
        <v>226</v>
      </c>
      <c r="N1752" t="s">
        <v>200</v>
      </c>
    </row>
    <row r="1753" spans="1:14" x14ac:dyDescent="0.45">
      <c r="A1753">
        <v>1752</v>
      </c>
      <c r="B1753">
        <v>662</v>
      </c>
      <c r="C1753" t="s">
        <v>74</v>
      </c>
      <c r="D1753" t="s">
        <v>1014</v>
      </c>
      <c r="E1753">
        <v>2000</v>
      </c>
      <c r="F1753" t="s">
        <v>88</v>
      </c>
      <c r="G1753" t="s">
        <v>89</v>
      </c>
      <c r="H1753" t="s">
        <v>218</v>
      </c>
      <c r="I1753">
        <v>0</v>
      </c>
      <c r="J1753">
        <v>1773.05</v>
      </c>
      <c r="K1753" t="s">
        <v>1040</v>
      </c>
      <c r="L1753" t="s">
        <v>226</v>
      </c>
      <c r="N1753" t="s">
        <v>200</v>
      </c>
    </row>
    <row r="1754" spans="1:14" x14ac:dyDescent="0.45">
      <c r="A1754">
        <v>1753</v>
      </c>
      <c r="B1754">
        <v>663</v>
      </c>
      <c r="C1754" t="s">
        <v>74</v>
      </c>
      <c r="D1754" t="s">
        <v>1016</v>
      </c>
      <c r="E1754">
        <v>6010</v>
      </c>
      <c r="F1754" t="s">
        <v>119</v>
      </c>
      <c r="G1754" t="s">
        <v>117</v>
      </c>
      <c r="H1754" t="s">
        <v>218</v>
      </c>
      <c r="I1754">
        <v>27150.2</v>
      </c>
      <c r="J1754">
        <v>0</v>
      </c>
      <c r="K1754" t="s">
        <v>1041</v>
      </c>
      <c r="L1754" t="s">
        <v>229</v>
      </c>
      <c r="N1754" t="s">
        <v>200</v>
      </c>
    </row>
    <row r="1755" spans="1:14" x14ac:dyDescent="0.45">
      <c r="A1755">
        <v>1754</v>
      </c>
      <c r="B1755">
        <v>663</v>
      </c>
      <c r="C1755" t="s">
        <v>74</v>
      </c>
      <c r="D1755" t="s">
        <v>1016</v>
      </c>
      <c r="E1755">
        <v>6020</v>
      </c>
      <c r="F1755" t="s">
        <v>121</v>
      </c>
      <c r="G1755" t="s">
        <v>117</v>
      </c>
      <c r="H1755" t="s">
        <v>218</v>
      </c>
      <c r="I1755">
        <v>3801.03</v>
      </c>
      <c r="J1755">
        <v>0</v>
      </c>
      <c r="K1755" t="s">
        <v>1041</v>
      </c>
      <c r="L1755" t="s">
        <v>229</v>
      </c>
      <c r="N1755" t="s">
        <v>200</v>
      </c>
    </row>
    <row r="1756" spans="1:14" x14ac:dyDescent="0.45">
      <c r="A1756">
        <v>1755</v>
      </c>
      <c r="B1756">
        <v>663</v>
      </c>
      <c r="C1756" t="s">
        <v>74</v>
      </c>
      <c r="D1756" t="s">
        <v>1016</v>
      </c>
      <c r="E1756">
        <v>1000</v>
      </c>
      <c r="F1756" t="s">
        <v>77</v>
      </c>
      <c r="G1756" t="s">
        <v>78</v>
      </c>
      <c r="H1756" t="s">
        <v>218</v>
      </c>
      <c r="I1756">
        <v>0</v>
      </c>
      <c r="J1756">
        <v>30920.38</v>
      </c>
      <c r="K1756" t="s">
        <v>1041</v>
      </c>
      <c r="L1756" t="s">
        <v>229</v>
      </c>
      <c r="N1756" t="s">
        <v>200</v>
      </c>
    </row>
    <row r="1757" spans="1:14" x14ac:dyDescent="0.45">
      <c r="A1757">
        <v>1756</v>
      </c>
      <c r="B1757">
        <v>663</v>
      </c>
      <c r="C1757" t="s">
        <v>74</v>
      </c>
      <c r="D1757" t="s">
        <v>1016</v>
      </c>
      <c r="E1757">
        <v>2100</v>
      </c>
      <c r="F1757" t="s">
        <v>91</v>
      </c>
      <c r="G1757" t="s">
        <v>89</v>
      </c>
      <c r="H1757" t="s">
        <v>218</v>
      </c>
      <c r="I1757">
        <v>0</v>
      </c>
      <c r="J1757">
        <v>3095.12</v>
      </c>
      <c r="K1757" t="s">
        <v>1041</v>
      </c>
      <c r="L1757" t="s">
        <v>229</v>
      </c>
      <c r="N1757" t="s">
        <v>200</v>
      </c>
    </row>
    <row r="1758" spans="1:14" x14ac:dyDescent="0.45">
      <c r="A1758">
        <v>1757</v>
      </c>
      <c r="B1758">
        <v>663</v>
      </c>
      <c r="C1758" t="s">
        <v>74</v>
      </c>
      <c r="D1758" t="s">
        <v>1016</v>
      </c>
      <c r="E1758">
        <v>2100</v>
      </c>
      <c r="F1758" t="s">
        <v>91</v>
      </c>
      <c r="G1758" t="s">
        <v>89</v>
      </c>
      <c r="H1758" t="s">
        <v>218</v>
      </c>
      <c r="I1758">
        <v>3064.27</v>
      </c>
      <c r="J1758">
        <v>0</v>
      </c>
      <c r="K1758" t="s">
        <v>1041</v>
      </c>
      <c r="L1758" t="s">
        <v>229</v>
      </c>
      <c r="N1758" t="s">
        <v>200</v>
      </c>
    </row>
    <row r="1759" spans="1:14" x14ac:dyDescent="0.45">
      <c r="A1759">
        <v>1758</v>
      </c>
      <c r="B1759">
        <v>664</v>
      </c>
      <c r="C1759" t="s">
        <v>74</v>
      </c>
      <c r="D1759" t="s">
        <v>1018</v>
      </c>
      <c r="E1759">
        <v>6030</v>
      </c>
      <c r="F1759" t="s">
        <v>123</v>
      </c>
      <c r="G1759" t="s">
        <v>117</v>
      </c>
      <c r="H1759" t="s">
        <v>218</v>
      </c>
      <c r="I1759">
        <v>4057.9</v>
      </c>
      <c r="J1759">
        <v>0</v>
      </c>
      <c r="K1759" t="s">
        <v>1042</v>
      </c>
      <c r="L1759" t="s">
        <v>232</v>
      </c>
      <c r="N1759" t="s">
        <v>200</v>
      </c>
    </row>
    <row r="1760" spans="1:14" x14ac:dyDescent="0.45">
      <c r="A1760">
        <v>1759</v>
      </c>
      <c r="B1760">
        <v>664</v>
      </c>
      <c r="C1760" t="s">
        <v>74</v>
      </c>
      <c r="D1760" t="s">
        <v>1018</v>
      </c>
      <c r="E1760">
        <v>1000</v>
      </c>
      <c r="F1760" t="s">
        <v>77</v>
      </c>
      <c r="G1760" t="s">
        <v>78</v>
      </c>
      <c r="H1760" t="s">
        <v>218</v>
      </c>
      <c r="I1760">
        <v>0</v>
      </c>
      <c r="J1760">
        <v>4057.9</v>
      </c>
      <c r="K1760" t="s">
        <v>1042</v>
      </c>
      <c r="L1760" t="s">
        <v>232</v>
      </c>
      <c r="N1760" t="s">
        <v>200</v>
      </c>
    </row>
    <row r="1761" spans="1:14" x14ac:dyDescent="0.45">
      <c r="A1761">
        <v>1760</v>
      </c>
      <c r="B1761">
        <v>665</v>
      </c>
      <c r="C1761" t="s">
        <v>74</v>
      </c>
      <c r="D1761" t="s">
        <v>1020</v>
      </c>
      <c r="E1761">
        <v>6040</v>
      </c>
      <c r="F1761" t="s">
        <v>125</v>
      </c>
      <c r="G1761" t="s">
        <v>117</v>
      </c>
      <c r="H1761" t="s">
        <v>218</v>
      </c>
      <c r="I1761">
        <v>1653.48</v>
      </c>
      <c r="J1761">
        <v>0</v>
      </c>
      <c r="K1761" t="s">
        <v>1043</v>
      </c>
      <c r="L1761" t="s">
        <v>226</v>
      </c>
      <c r="N1761" t="s">
        <v>200</v>
      </c>
    </row>
    <row r="1762" spans="1:14" x14ac:dyDescent="0.45">
      <c r="A1762">
        <v>1761</v>
      </c>
      <c r="B1762">
        <v>665</v>
      </c>
      <c r="C1762" t="s">
        <v>74</v>
      </c>
      <c r="D1762" t="s">
        <v>1020</v>
      </c>
      <c r="E1762">
        <v>1000</v>
      </c>
      <c r="F1762" t="s">
        <v>77</v>
      </c>
      <c r="G1762" t="s">
        <v>78</v>
      </c>
      <c r="H1762" t="s">
        <v>218</v>
      </c>
      <c r="I1762">
        <v>0</v>
      </c>
      <c r="J1762">
        <v>1322.78</v>
      </c>
      <c r="K1762" t="s">
        <v>1043</v>
      </c>
      <c r="L1762" t="s">
        <v>226</v>
      </c>
      <c r="N1762" t="s">
        <v>200</v>
      </c>
    </row>
    <row r="1763" spans="1:14" x14ac:dyDescent="0.45">
      <c r="A1763">
        <v>1762</v>
      </c>
      <c r="B1763">
        <v>665</v>
      </c>
      <c r="C1763" t="s">
        <v>74</v>
      </c>
      <c r="D1763" t="s">
        <v>1020</v>
      </c>
      <c r="E1763">
        <v>2000</v>
      </c>
      <c r="F1763" t="s">
        <v>88</v>
      </c>
      <c r="G1763" t="s">
        <v>89</v>
      </c>
      <c r="H1763" t="s">
        <v>218</v>
      </c>
      <c r="I1763">
        <v>0</v>
      </c>
      <c r="J1763">
        <v>330.7</v>
      </c>
      <c r="K1763" t="s">
        <v>1043</v>
      </c>
      <c r="L1763" t="s">
        <v>226</v>
      </c>
      <c r="N1763" t="s">
        <v>200</v>
      </c>
    </row>
    <row r="1764" spans="1:14" x14ac:dyDescent="0.45">
      <c r="A1764">
        <v>1763</v>
      </c>
      <c r="B1764">
        <v>666</v>
      </c>
      <c r="C1764" t="s">
        <v>74</v>
      </c>
      <c r="D1764" t="s">
        <v>1018</v>
      </c>
      <c r="E1764">
        <v>6050</v>
      </c>
      <c r="F1764" t="s">
        <v>127</v>
      </c>
      <c r="G1764" t="s">
        <v>117</v>
      </c>
      <c r="H1764" t="s">
        <v>218</v>
      </c>
      <c r="I1764">
        <v>797.5</v>
      </c>
      <c r="J1764">
        <v>0</v>
      </c>
      <c r="K1764" t="s">
        <v>1044</v>
      </c>
      <c r="L1764" t="s">
        <v>236</v>
      </c>
      <c r="N1764" t="s">
        <v>200</v>
      </c>
    </row>
    <row r="1765" spans="1:14" x14ac:dyDescent="0.45">
      <c r="A1765">
        <v>1764</v>
      </c>
      <c r="B1765">
        <v>666</v>
      </c>
      <c r="C1765" t="s">
        <v>74</v>
      </c>
      <c r="D1765" t="s">
        <v>1018</v>
      </c>
      <c r="E1765">
        <v>1200</v>
      </c>
      <c r="F1765" t="s">
        <v>82</v>
      </c>
      <c r="G1765" t="s">
        <v>78</v>
      </c>
      <c r="H1765" t="s">
        <v>218</v>
      </c>
      <c r="I1765">
        <v>0</v>
      </c>
      <c r="J1765">
        <v>797.5</v>
      </c>
      <c r="K1765" t="s">
        <v>1044</v>
      </c>
      <c r="L1765" t="s">
        <v>236</v>
      </c>
      <c r="N1765" t="s">
        <v>200</v>
      </c>
    </row>
    <row r="1766" spans="1:14" x14ac:dyDescent="0.45">
      <c r="A1766">
        <v>1765</v>
      </c>
      <c r="B1766">
        <v>667</v>
      </c>
      <c r="C1766" t="s">
        <v>74</v>
      </c>
      <c r="D1766" t="s">
        <v>1023</v>
      </c>
      <c r="E1766">
        <v>6060</v>
      </c>
      <c r="F1766" t="s">
        <v>129</v>
      </c>
      <c r="G1766" t="s">
        <v>117</v>
      </c>
      <c r="H1766" t="s">
        <v>218</v>
      </c>
      <c r="I1766">
        <v>1351.35</v>
      </c>
      <c r="J1766">
        <v>0</v>
      </c>
      <c r="K1766" t="s">
        <v>1045</v>
      </c>
      <c r="L1766" t="s">
        <v>232</v>
      </c>
      <c r="N1766" t="s">
        <v>200</v>
      </c>
    </row>
    <row r="1767" spans="1:14" x14ac:dyDescent="0.45">
      <c r="A1767">
        <v>1766</v>
      </c>
      <c r="B1767">
        <v>667</v>
      </c>
      <c r="C1767" t="s">
        <v>74</v>
      </c>
      <c r="D1767" t="s">
        <v>1023</v>
      </c>
      <c r="E1767">
        <v>1000</v>
      </c>
      <c r="F1767" t="s">
        <v>77</v>
      </c>
      <c r="G1767" t="s">
        <v>78</v>
      </c>
      <c r="H1767" t="s">
        <v>218</v>
      </c>
      <c r="I1767">
        <v>0</v>
      </c>
      <c r="J1767">
        <v>1351.35</v>
      </c>
      <c r="K1767" t="s">
        <v>1045</v>
      </c>
      <c r="L1767" t="s">
        <v>232</v>
      </c>
      <c r="N1767" t="s">
        <v>200</v>
      </c>
    </row>
    <row r="1768" spans="1:14" x14ac:dyDescent="0.45">
      <c r="A1768">
        <v>1767</v>
      </c>
      <c r="B1768">
        <v>668</v>
      </c>
      <c r="C1768" t="s">
        <v>74</v>
      </c>
      <c r="D1768" t="s">
        <v>1016</v>
      </c>
      <c r="E1768">
        <v>7000</v>
      </c>
      <c r="F1768" t="s">
        <v>133</v>
      </c>
      <c r="G1768" t="s">
        <v>117</v>
      </c>
      <c r="H1768" t="s">
        <v>218</v>
      </c>
      <c r="I1768">
        <v>605</v>
      </c>
      <c r="J1768">
        <v>0</v>
      </c>
      <c r="K1768" t="s">
        <v>1046</v>
      </c>
      <c r="L1768" t="s">
        <v>241</v>
      </c>
      <c r="N1768" t="s">
        <v>200</v>
      </c>
    </row>
    <row r="1769" spans="1:14" x14ac:dyDescent="0.45">
      <c r="A1769">
        <v>1768</v>
      </c>
      <c r="B1769">
        <v>668</v>
      </c>
      <c r="C1769" t="s">
        <v>74</v>
      </c>
      <c r="D1769" t="s">
        <v>1016</v>
      </c>
      <c r="E1769">
        <v>1500</v>
      </c>
      <c r="F1769" t="s">
        <v>86</v>
      </c>
      <c r="G1769" t="s">
        <v>78</v>
      </c>
      <c r="H1769" t="s">
        <v>218</v>
      </c>
      <c r="I1769">
        <v>0</v>
      </c>
      <c r="J1769">
        <v>605</v>
      </c>
      <c r="K1769" t="s">
        <v>1046</v>
      </c>
      <c r="L1769" t="s">
        <v>241</v>
      </c>
      <c r="N1769" t="s">
        <v>200</v>
      </c>
    </row>
    <row r="1770" spans="1:14" x14ac:dyDescent="0.45">
      <c r="A1770">
        <v>1769</v>
      </c>
      <c r="B1770">
        <v>669</v>
      </c>
      <c r="C1770" t="s">
        <v>74</v>
      </c>
      <c r="D1770" t="s">
        <v>1026</v>
      </c>
      <c r="E1770">
        <v>2000</v>
      </c>
      <c r="F1770" t="s">
        <v>88</v>
      </c>
      <c r="G1770" t="s">
        <v>89</v>
      </c>
      <c r="H1770" t="s">
        <v>218</v>
      </c>
      <c r="I1770">
        <v>2040.24</v>
      </c>
      <c r="J1770">
        <v>0</v>
      </c>
      <c r="K1770" t="s">
        <v>1047</v>
      </c>
      <c r="L1770" t="s">
        <v>232</v>
      </c>
      <c r="N1770" t="s">
        <v>200</v>
      </c>
    </row>
    <row r="1771" spans="1:14" x14ac:dyDescent="0.45">
      <c r="A1771">
        <v>1770</v>
      </c>
      <c r="B1771">
        <v>669</v>
      </c>
      <c r="C1771" t="s">
        <v>74</v>
      </c>
      <c r="D1771" t="s">
        <v>1026</v>
      </c>
      <c r="E1771">
        <v>1000</v>
      </c>
      <c r="F1771" t="s">
        <v>77</v>
      </c>
      <c r="G1771" t="s">
        <v>78</v>
      </c>
      <c r="H1771" t="s">
        <v>218</v>
      </c>
      <c r="I1771">
        <v>0</v>
      </c>
      <c r="J1771">
        <v>2040.24</v>
      </c>
      <c r="K1771" t="s">
        <v>1047</v>
      </c>
      <c r="L1771" t="s">
        <v>232</v>
      </c>
      <c r="N1771" t="s">
        <v>200</v>
      </c>
    </row>
    <row r="1772" spans="1:14" x14ac:dyDescent="0.45">
      <c r="A1772">
        <v>1771</v>
      </c>
      <c r="B1772">
        <v>670</v>
      </c>
      <c r="C1772" t="s">
        <v>72</v>
      </c>
      <c r="D1772" t="s">
        <v>1048</v>
      </c>
      <c r="E1772">
        <v>1300</v>
      </c>
      <c r="F1772" t="s">
        <v>84</v>
      </c>
      <c r="G1772" t="s">
        <v>78</v>
      </c>
      <c r="H1772" t="s">
        <v>261</v>
      </c>
      <c r="I1772">
        <v>3772.08</v>
      </c>
      <c r="J1772">
        <v>0</v>
      </c>
      <c r="K1772" t="s">
        <v>1049</v>
      </c>
      <c r="L1772" t="s">
        <v>263</v>
      </c>
      <c r="M1772" t="s">
        <v>73</v>
      </c>
      <c r="N1772" t="s">
        <v>200</v>
      </c>
    </row>
    <row r="1773" spans="1:14" x14ac:dyDescent="0.45">
      <c r="A1773">
        <v>1772</v>
      </c>
      <c r="B1773">
        <v>670</v>
      </c>
      <c r="C1773" t="s">
        <v>72</v>
      </c>
      <c r="D1773" t="s">
        <v>1048</v>
      </c>
      <c r="E1773">
        <v>4090</v>
      </c>
      <c r="F1773" t="s">
        <v>107</v>
      </c>
      <c r="G1773" t="s">
        <v>99</v>
      </c>
      <c r="H1773" t="s">
        <v>261</v>
      </c>
      <c r="I1773">
        <v>0</v>
      </c>
      <c r="J1773">
        <v>3772.08</v>
      </c>
      <c r="K1773" t="s">
        <v>1049</v>
      </c>
      <c r="L1773" t="s">
        <v>263</v>
      </c>
      <c r="M1773" t="s">
        <v>73</v>
      </c>
      <c r="N1773" t="s">
        <v>200</v>
      </c>
    </row>
    <row r="1774" spans="1:14" x14ac:dyDescent="0.45">
      <c r="A1774">
        <v>1773</v>
      </c>
      <c r="B1774">
        <v>671</v>
      </c>
      <c r="C1774" t="s">
        <v>73</v>
      </c>
      <c r="D1774" t="s">
        <v>1048</v>
      </c>
      <c r="E1774">
        <v>6070</v>
      </c>
      <c r="F1774" t="s">
        <v>131</v>
      </c>
      <c r="G1774" t="s">
        <v>117</v>
      </c>
      <c r="H1774" t="s">
        <v>261</v>
      </c>
      <c r="I1774">
        <v>3772.08</v>
      </c>
      <c r="J1774">
        <v>0</v>
      </c>
      <c r="K1774" t="s">
        <v>1050</v>
      </c>
      <c r="L1774" t="s">
        <v>263</v>
      </c>
      <c r="M1774" t="s">
        <v>72</v>
      </c>
      <c r="N1774" t="s">
        <v>200</v>
      </c>
    </row>
    <row r="1775" spans="1:14" x14ac:dyDescent="0.45">
      <c r="A1775">
        <v>1774</v>
      </c>
      <c r="B1775">
        <v>671</v>
      </c>
      <c r="C1775" t="s">
        <v>73</v>
      </c>
      <c r="D1775" t="s">
        <v>1048</v>
      </c>
      <c r="E1775">
        <v>2200</v>
      </c>
      <c r="F1775" t="s">
        <v>93</v>
      </c>
      <c r="G1775" t="s">
        <v>89</v>
      </c>
      <c r="H1775" t="s">
        <v>261</v>
      </c>
      <c r="I1775">
        <v>0</v>
      </c>
      <c r="J1775">
        <v>3772.08</v>
      </c>
      <c r="K1775" t="s">
        <v>1050</v>
      </c>
      <c r="L1775" t="s">
        <v>263</v>
      </c>
      <c r="M1775" t="s">
        <v>72</v>
      </c>
      <c r="N1775" t="s">
        <v>200</v>
      </c>
    </row>
    <row r="1776" spans="1:14" x14ac:dyDescent="0.45">
      <c r="A1776">
        <v>1775</v>
      </c>
      <c r="B1776">
        <v>672</v>
      </c>
      <c r="C1776" t="s">
        <v>73</v>
      </c>
      <c r="D1776" t="s">
        <v>1051</v>
      </c>
      <c r="E1776">
        <v>2200</v>
      </c>
      <c r="F1776" t="s">
        <v>93</v>
      </c>
      <c r="G1776" t="s">
        <v>89</v>
      </c>
      <c r="H1776" t="s">
        <v>261</v>
      </c>
      <c r="I1776">
        <v>3739.84</v>
      </c>
      <c r="J1776">
        <v>0</v>
      </c>
      <c r="K1776" t="s">
        <v>1052</v>
      </c>
      <c r="L1776" t="s">
        <v>309</v>
      </c>
      <c r="M1776" t="s">
        <v>72</v>
      </c>
      <c r="N1776" t="s">
        <v>200</v>
      </c>
    </row>
    <row r="1777" spans="1:14" x14ac:dyDescent="0.45">
      <c r="A1777">
        <v>1776</v>
      </c>
      <c r="B1777">
        <v>672</v>
      </c>
      <c r="C1777" t="s">
        <v>73</v>
      </c>
      <c r="D1777" t="s">
        <v>1051</v>
      </c>
      <c r="E1777">
        <v>1000</v>
      </c>
      <c r="F1777" t="s">
        <v>77</v>
      </c>
      <c r="G1777" t="s">
        <v>78</v>
      </c>
      <c r="H1777" t="s">
        <v>218</v>
      </c>
      <c r="I1777">
        <v>0</v>
      </c>
      <c r="J1777">
        <v>3739.84</v>
      </c>
      <c r="K1777" t="s">
        <v>1052</v>
      </c>
      <c r="L1777" t="s">
        <v>309</v>
      </c>
      <c r="M1777" t="s">
        <v>72</v>
      </c>
      <c r="N1777" t="s">
        <v>200</v>
      </c>
    </row>
    <row r="1778" spans="1:14" x14ac:dyDescent="0.45">
      <c r="A1778">
        <v>1777</v>
      </c>
      <c r="B1778">
        <v>673</v>
      </c>
      <c r="C1778" t="s">
        <v>72</v>
      </c>
      <c r="D1778" t="s">
        <v>1051</v>
      </c>
      <c r="E1778">
        <v>1000</v>
      </c>
      <c r="F1778" t="s">
        <v>77</v>
      </c>
      <c r="G1778" t="s">
        <v>78</v>
      </c>
      <c r="H1778" t="s">
        <v>218</v>
      </c>
      <c r="I1778">
        <v>3739.84</v>
      </c>
      <c r="J1778">
        <v>0</v>
      </c>
      <c r="K1778" t="s">
        <v>1053</v>
      </c>
      <c r="L1778" t="s">
        <v>309</v>
      </c>
      <c r="M1778" t="s">
        <v>73</v>
      </c>
      <c r="N1778" t="s">
        <v>200</v>
      </c>
    </row>
    <row r="1779" spans="1:14" x14ac:dyDescent="0.45">
      <c r="A1779">
        <v>1778</v>
      </c>
      <c r="B1779">
        <v>673</v>
      </c>
      <c r="C1779" t="s">
        <v>72</v>
      </c>
      <c r="D1779" t="s">
        <v>1051</v>
      </c>
      <c r="E1779">
        <v>1300</v>
      </c>
      <c r="F1779" t="s">
        <v>84</v>
      </c>
      <c r="G1779" t="s">
        <v>78</v>
      </c>
      <c r="H1779" t="s">
        <v>261</v>
      </c>
      <c r="I1779">
        <v>0</v>
      </c>
      <c r="J1779">
        <v>3739.84</v>
      </c>
      <c r="K1779" t="s">
        <v>1053</v>
      </c>
      <c r="L1779" t="s">
        <v>309</v>
      </c>
      <c r="M1779" t="s">
        <v>73</v>
      </c>
      <c r="N1779" t="s">
        <v>200</v>
      </c>
    </row>
    <row r="1780" spans="1:14" x14ac:dyDescent="0.45">
      <c r="A1780">
        <v>1779</v>
      </c>
      <c r="B1780">
        <v>674</v>
      </c>
      <c r="C1780" t="s">
        <v>72</v>
      </c>
      <c r="D1780" t="s">
        <v>1048</v>
      </c>
      <c r="E1780">
        <v>1300</v>
      </c>
      <c r="F1780" t="s">
        <v>84</v>
      </c>
      <c r="G1780" t="s">
        <v>78</v>
      </c>
      <c r="H1780" t="s">
        <v>261</v>
      </c>
      <c r="I1780">
        <v>3346.2</v>
      </c>
      <c r="J1780">
        <v>0</v>
      </c>
      <c r="K1780" t="s">
        <v>1054</v>
      </c>
      <c r="L1780" t="s">
        <v>263</v>
      </c>
      <c r="M1780" t="s">
        <v>74</v>
      </c>
      <c r="N1780" t="s">
        <v>200</v>
      </c>
    </row>
    <row r="1781" spans="1:14" x14ac:dyDescent="0.45">
      <c r="A1781">
        <v>1780</v>
      </c>
      <c r="B1781">
        <v>674</v>
      </c>
      <c r="C1781" t="s">
        <v>72</v>
      </c>
      <c r="D1781" t="s">
        <v>1048</v>
      </c>
      <c r="E1781">
        <v>4090</v>
      </c>
      <c r="F1781" t="s">
        <v>107</v>
      </c>
      <c r="G1781" t="s">
        <v>99</v>
      </c>
      <c r="H1781" t="s">
        <v>261</v>
      </c>
      <c r="I1781">
        <v>0</v>
      </c>
      <c r="J1781">
        <v>3346.2</v>
      </c>
      <c r="K1781" t="s">
        <v>1054</v>
      </c>
      <c r="L1781" t="s">
        <v>263</v>
      </c>
      <c r="M1781" t="s">
        <v>74</v>
      </c>
      <c r="N1781" t="s">
        <v>200</v>
      </c>
    </row>
    <row r="1782" spans="1:14" x14ac:dyDescent="0.45">
      <c r="A1782">
        <v>1781</v>
      </c>
      <c r="B1782">
        <v>675</v>
      </c>
      <c r="C1782" t="s">
        <v>74</v>
      </c>
      <c r="D1782" t="s">
        <v>1048</v>
      </c>
      <c r="E1782">
        <v>6070</v>
      </c>
      <c r="F1782" t="s">
        <v>131</v>
      </c>
      <c r="G1782" t="s">
        <v>117</v>
      </c>
      <c r="H1782" t="s">
        <v>261</v>
      </c>
      <c r="I1782">
        <v>3346.2</v>
      </c>
      <c r="J1782">
        <v>0</v>
      </c>
      <c r="K1782" t="s">
        <v>1050</v>
      </c>
      <c r="L1782" t="s">
        <v>263</v>
      </c>
      <c r="M1782" t="s">
        <v>72</v>
      </c>
      <c r="N1782" t="s">
        <v>200</v>
      </c>
    </row>
    <row r="1783" spans="1:14" x14ac:dyDescent="0.45">
      <c r="A1783">
        <v>1782</v>
      </c>
      <c r="B1783">
        <v>675</v>
      </c>
      <c r="C1783" t="s">
        <v>74</v>
      </c>
      <c r="D1783" t="s">
        <v>1048</v>
      </c>
      <c r="E1783">
        <v>2200</v>
      </c>
      <c r="F1783" t="s">
        <v>93</v>
      </c>
      <c r="G1783" t="s">
        <v>89</v>
      </c>
      <c r="H1783" t="s">
        <v>261</v>
      </c>
      <c r="I1783">
        <v>0</v>
      </c>
      <c r="J1783">
        <v>3346.2</v>
      </c>
      <c r="K1783" t="s">
        <v>1050</v>
      </c>
      <c r="L1783" t="s">
        <v>263</v>
      </c>
      <c r="M1783" t="s">
        <v>72</v>
      </c>
      <c r="N1783" t="s">
        <v>200</v>
      </c>
    </row>
    <row r="1784" spans="1:14" x14ac:dyDescent="0.45">
      <c r="A1784">
        <v>1783</v>
      </c>
      <c r="B1784">
        <v>676</v>
      </c>
      <c r="C1784" t="s">
        <v>74</v>
      </c>
      <c r="D1784" t="s">
        <v>1051</v>
      </c>
      <c r="E1784">
        <v>2200</v>
      </c>
      <c r="F1784" t="s">
        <v>93</v>
      </c>
      <c r="G1784" t="s">
        <v>89</v>
      </c>
      <c r="H1784" t="s">
        <v>261</v>
      </c>
      <c r="I1784">
        <v>3317.6</v>
      </c>
      <c r="J1784">
        <v>0</v>
      </c>
      <c r="K1784" t="s">
        <v>1052</v>
      </c>
      <c r="L1784" t="s">
        <v>309</v>
      </c>
      <c r="M1784" t="s">
        <v>72</v>
      </c>
      <c r="N1784" t="s">
        <v>200</v>
      </c>
    </row>
    <row r="1785" spans="1:14" x14ac:dyDescent="0.45">
      <c r="A1785">
        <v>1784</v>
      </c>
      <c r="B1785">
        <v>676</v>
      </c>
      <c r="C1785" t="s">
        <v>74</v>
      </c>
      <c r="D1785" t="s">
        <v>1051</v>
      </c>
      <c r="E1785">
        <v>1000</v>
      </c>
      <c r="F1785" t="s">
        <v>77</v>
      </c>
      <c r="G1785" t="s">
        <v>78</v>
      </c>
      <c r="H1785" t="s">
        <v>218</v>
      </c>
      <c r="I1785">
        <v>0</v>
      </c>
      <c r="J1785">
        <v>3317.6</v>
      </c>
      <c r="K1785" t="s">
        <v>1052</v>
      </c>
      <c r="L1785" t="s">
        <v>309</v>
      </c>
      <c r="M1785" t="s">
        <v>72</v>
      </c>
      <c r="N1785" t="s">
        <v>200</v>
      </c>
    </row>
    <row r="1786" spans="1:14" x14ac:dyDescent="0.45">
      <c r="A1786">
        <v>1785</v>
      </c>
      <c r="B1786">
        <v>677</v>
      </c>
      <c r="C1786" t="s">
        <v>72</v>
      </c>
      <c r="D1786" t="s">
        <v>1051</v>
      </c>
      <c r="E1786">
        <v>1000</v>
      </c>
      <c r="F1786" t="s">
        <v>77</v>
      </c>
      <c r="G1786" t="s">
        <v>78</v>
      </c>
      <c r="H1786" t="s">
        <v>218</v>
      </c>
      <c r="I1786">
        <v>3317.6</v>
      </c>
      <c r="J1786">
        <v>0</v>
      </c>
      <c r="K1786" t="s">
        <v>1055</v>
      </c>
      <c r="L1786" t="s">
        <v>309</v>
      </c>
      <c r="M1786" t="s">
        <v>74</v>
      </c>
      <c r="N1786" t="s">
        <v>200</v>
      </c>
    </row>
    <row r="1787" spans="1:14" x14ac:dyDescent="0.45">
      <c r="A1787">
        <v>1786</v>
      </c>
      <c r="B1787">
        <v>677</v>
      </c>
      <c r="C1787" t="s">
        <v>72</v>
      </c>
      <c r="D1787" t="s">
        <v>1051</v>
      </c>
      <c r="E1787">
        <v>1300</v>
      </c>
      <c r="F1787" t="s">
        <v>84</v>
      </c>
      <c r="G1787" t="s">
        <v>78</v>
      </c>
      <c r="H1787" t="s">
        <v>261</v>
      </c>
      <c r="I1787">
        <v>0</v>
      </c>
      <c r="J1787">
        <v>3317.6</v>
      </c>
      <c r="K1787" t="s">
        <v>1055</v>
      </c>
      <c r="L1787" t="s">
        <v>309</v>
      </c>
      <c r="M1787" t="s">
        <v>74</v>
      </c>
      <c r="N1787" t="s">
        <v>200</v>
      </c>
    </row>
  </sheetData>
  <pageMargins left="0.75" right="0.75" top="1" bottom="1" header="0.5" footer="0.5"/>
  <headerFooter>
    <oddFooter>&amp;R_x000D_&amp;1#&amp;"Aptos"&amp;8&amp;K000000 Cisco Confidential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79A56"/>
  </sheetPr>
  <dimension ref="A1:H447"/>
  <sheetViews>
    <sheetView showGridLines="0" workbookViewId="0"/>
  </sheetViews>
  <sheetFormatPr defaultRowHeight="14.25" x14ac:dyDescent="0.45"/>
  <cols>
    <col min="1" max="1" width="11" customWidth="1"/>
    <col min="2" max="2" width="12" customWidth="1"/>
    <col min="3" max="4" width="11" customWidth="1"/>
    <col min="5" max="5" width="13" customWidth="1"/>
    <col min="6" max="6" width="11" customWidth="1"/>
    <col min="7" max="7" width="14" customWidth="1"/>
    <col min="8" max="8" width="11" customWidth="1"/>
  </cols>
  <sheetData>
    <row r="1" spans="1:8" x14ac:dyDescent="0.45">
      <c r="A1" t="s">
        <v>1056</v>
      </c>
      <c r="B1" t="s">
        <v>205</v>
      </c>
      <c r="C1" t="s">
        <v>206</v>
      </c>
      <c r="D1" t="s">
        <v>1057</v>
      </c>
      <c r="E1" t="s">
        <v>213</v>
      </c>
      <c r="F1" t="s">
        <v>1058</v>
      </c>
      <c r="G1" t="s">
        <v>1059</v>
      </c>
      <c r="H1" t="s">
        <v>216</v>
      </c>
    </row>
    <row r="2" spans="1:8" x14ac:dyDescent="0.45">
      <c r="A2">
        <v>1</v>
      </c>
      <c r="B2" t="s">
        <v>72</v>
      </c>
      <c r="C2" t="s">
        <v>221</v>
      </c>
      <c r="D2">
        <v>89893.86</v>
      </c>
      <c r="E2" t="s">
        <v>222</v>
      </c>
      <c r="F2" t="s">
        <v>1060</v>
      </c>
      <c r="G2">
        <v>5</v>
      </c>
      <c r="H2" t="s">
        <v>183</v>
      </c>
    </row>
    <row r="3" spans="1:8" x14ac:dyDescent="0.45">
      <c r="A3">
        <v>2</v>
      </c>
      <c r="B3" t="s">
        <v>72</v>
      </c>
      <c r="C3" t="s">
        <v>224</v>
      </c>
      <c r="D3">
        <v>-6920.48</v>
      </c>
      <c r="E3" t="s">
        <v>225</v>
      </c>
      <c r="F3" t="s">
        <v>1060</v>
      </c>
      <c r="G3">
        <v>9</v>
      </c>
      <c r="H3" t="s">
        <v>183</v>
      </c>
    </row>
    <row r="4" spans="1:8" x14ac:dyDescent="0.45">
      <c r="A4">
        <v>3</v>
      </c>
      <c r="B4" t="s">
        <v>72</v>
      </c>
      <c r="C4" t="s">
        <v>227</v>
      </c>
      <c r="D4">
        <v>-42066</v>
      </c>
      <c r="E4" t="s">
        <v>228</v>
      </c>
      <c r="F4" t="s">
        <v>1060</v>
      </c>
      <c r="G4">
        <v>13</v>
      </c>
      <c r="H4" t="s">
        <v>183</v>
      </c>
    </row>
    <row r="5" spans="1:8" x14ac:dyDescent="0.45">
      <c r="A5">
        <v>4</v>
      </c>
      <c r="B5" t="s">
        <v>72</v>
      </c>
      <c r="C5" t="s">
        <v>230</v>
      </c>
      <c r="D5">
        <v>-6800</v>
      </c>
      <c r="E5" t="s">
        <v>231</v>
      </c>
      <c r="F5" t="s">
        <v>1060</v>
      </c>
      <c r="G5">
        <v>17</v>
      </c>
      <c r="H5" t="s">
        <v>183</v>
      </c>
    </row>
    <row r="6" spans="1:8" x14ac:dyDescent="0.45">
      <c r="A6">
        <v>5</v>
      </c>
      <c r="B6" t="s">
        <v>72</v>
      </c>
      <c r="C6" t="s">
        <v>233</v>
      </c>
      <c r="D6">
        <v>-2664.13</v>
      </c>
      <c r="E6" t="s">
        <v>234</v>
      </c>
      <c r="F6" t="s">
        <v>1060</v>
      </c>
      <c r="G6">
        <v>19</v>
      </c>
      <c r="H6" t="s">
        <v>183</v>
      </c>
    </row>
    <row r="7" spans="1:8" x14ac:dyDescent="0.45">
      <c r="A7">
        <v>6</v>
      </c>
      <c r="B7" t="s">
        <v>72</v>
      </c>
      <c r="C7" t="s">
        <v>237</v>
      </c>
      <c r="D7">
        <v>-2100</v>
      </c>
      <c r="E7" t="s">
        <v>238</v>
      </c>
      <c r="F7" t="s">
        <v>1060</v>
      </c>
      <c r="G7">
        <v>24</v>
      </c>
      <c r="H7" t="s">
        <v>183</v>
      </c>
    </row>
    <row r="8" spans="1:8" x14ac:dyDescent="0.45">
      <c r="A8">
        <v>7</v>
      </c>
      <c r="B8" t="s">
        <v>72</v>
      </c>
      <c r="C8" t="s">
        <v>268</v>
      </c>
      <c r="D8">
        <v>94369</v>
      </c>
      <c r="E8" t="s">
        <v>269</v>
      </c>
      <c r="F8" t="s">
        <v>1060</v>
      </c>
      <c r="G8">
        <v>91</v>
      </c>
      <c r="H8" t="s">
        <v>184</v>
      </c>
    </row>
    <row r="9" spans="1:8" x14ac:dyDescent="0.45">
      <c r="A9">
        <v>8</v>
      </c>
      <c r="B9" t="s">
        <v>72</v>
      </c>
      <c r="C9" t="s">
        <v>270</v>
      </c>
      <c r="D9">
        <v>-7284.8</v>
      </c>
      <c r="E9" t="s">
        <v>271</v>
      </c>
      <c r="F9" t="s">
        <v>1060</v>
      </c>
      <c r="G9">
        <v>95</v>
      </c>
      <c r="H9" t="s">
        <v>184</v>
      </c>
    </row>
    <row r="10" spans="1:8" x14ac:dyDescent="0.45">
      <c r="A10">
        <v>9</v>
      </c>
      <c r="B10" t="s">
        <v>72</v>
      </c>
      <c r="C10" t="s">
        <v>272</v>
      </c>
      <c r="D10">
        <v>-47244.79</v>
      </c>
      <c r="E10" t="s">
        <v>273</v>
      </c>
      <c r="F10" t="s">
        <v>1060</v>
      </c>
      <c r="G10">
        <v>99</v>
      </c>
      <c r="H10" t="s">
        <v>184</v>
      </c>
    </row>
    <row r="11" spans="1:8" x14ac:dyDescent="0.45">
      <c r="A11">
        <v>10</v>
      </c>
      <c r="B11" t="s">
        <v>72</v>
      </c>
      <c r="C11" t="s">
        <v>274</v>
      </c>
      <c r="D11">
        <v>-6834</v>
      </c>
      <c r="E11" t="s">
        <v>275</v>
      </c>
      <c r="F11" t="s">
        <v>1060</v>
      </c>
      <c r="G11">
        <v>103</v>
      </c>
      <c r="H11" t="s">
        <v>184</v>
      </c>
    </row>
    <row r="12" spans="1:8" x14ac:dyDescent="0.45">
      <c r="A12">
        <v>11</v>
      </c>
      <c r="B12" t="s">
        <v>72</v>
      </c>
      <c r="C12" t="s">
        <v>276</v>
      </c>
      <c r="D12">
        <v>-2771.12</v>
      </c>
      <c r="E12" t="s">
        <v>277</v>
      </c>
      <c r="F12" t="s">
        <v>1060</v>
      </c>
      <c r="G12">
        <v>105</v>
      </c>
      <c r="H12" t="s">
        <v>184</v>
      </c>
    </row>
    <row r="13" spans="1:8" x14ac:dyDescent="0.45">
      <c r="A13">
        <v>12</v>
      </c>
      <c r="B13" t="s">
        <v>72</v>
      </c>
      <c r="C13" t="s">
        <v>279</v>
      </c>
      <c r="D13">
        <v>-2121</v>
      </c>
      <c r="E13" t="s">
        <v>280</v>
      </c>
      <c r="F13" t="s">
        <v>1060</v>
      </c>
      <c r="G13">
        <v>110</v>
      </c>
      <c r="H13" t="s">
        <v>184</v>
      </c>
    </row>
    <row r="14" spans="1:8" x14ac:dyDescent="0.45">
      <c r="A14">
        <v>13</v>
      </c>
      <c r="B14" t="s">
        <v>72</v>
      </c>
      <c r="C14" t="s">
        <v>283</v>
      </c>
      <c r="D14">
        <v>-3631.95</v>
      </c>
      <c r="E14" t="s">
        <v>284</v>
      </c>
      <c r="F14" t="s">
        <v>1060</v>
      </c>
      <c r="G14">
        <v>114</v>
      </c>
      <c r="H14" t="s">
        <v>184</v>
      </c>
    </row>
    <row r="15" spans="1:8" x14ac:dyDescent="0.45">
      <c r="A15">
        <v>14</v>
      </c>
      <c r="B15" t="s">
        <v>72</v>
      </c>
      <c r="C15" t="s">
        <v>268</v>
      </c>
      <c r="D15">
        <v>3224</v>
      </c>
      <c r="E15" t="s">
        <v>310</v>
      </c>
      <c r="F15" t="s">
        <v>1060</v>
      </c>
      <c r="G15">
        <v>177</v>
      </c>
      <c r="H15" t="s">
        <v>184</v>
      </c>
    </row>
    <row r="16" spans="1:8" x14ac:dyDescent="0.45">
      <c r="A16">
        <v>15</v>
      </c>
      <c r="B16" t="s">
        <v>72</v>
      </c>
      <c r="C16" t="s">
        <v>268</v>
      </c>
      <c r="D16">
        <v>2860</v>
      </c>
      <c r="E16" t="s">
        <v>312</v>
      </c>
      <c r="F16" t="s">
        <v>1060</v>
      </c>
      <c r="G16">
        <v>185</v>
      </c>
      <c r="H16" t="s">
        <v>184</v>
      </c>
    </row>
    <row r="17" spans="1:8" x14ac:dyDescent="0.45">
      <c r="A17">
        <v>16</v>
      </c>
      <c r="B17" t="s">
        <v>72</v>
      </c>
      <c r="C17" t="s">
        <v>315</v>
      </c>
      <c r="D17">
        <v>98128.78</v>
      </c>
      <c r="E17" t="s">
        <v>316</v>
      </c>
      <c r="F17" t="s">
        <v>1060</v>
      </c>
      <c r="G17">
        <v>191</v>
      </c>
      <c r="H17" t="s">
        <v>185</v>
      </c>
    </row>
    <row r="18" spans="1:8" x14ac:dyDescent="0.45">
      <c r="A18">
        <v>17</v>
      </c>
      <c r="B18" t="s">
        <v>72</v>
      </c>
      <c r="C18" t="s">
        <v>317</v>
      </c>
      <c r="D18">
        <v>-7441.54</v>
      </c>
      <c r="E18" t="s">
        <v>318</v>
      </c>
      <c r="F18" t="s">
        <v>1060</v>
      </c>
      <c r="G18">
        <v>195</v>
      </c>
      <c r="H18" t="s">
        <v>185</v>
      </c>
    </row>
    <row r="19" spans="1:8" x14ac:dyDescent="0.45">
      <c r="A19">
        <v>18</v>
      </c>
      <c r="B19" t="s">
        <v>72</v>
      </c>
      <c r="C19" t="s">
        <v>319</v>
      </c>
      <c r="D19">
        <v>-47805.67</v>
      </c>
      <c r="E19" t="s">
        <v>320</v>
      </c>
      <c r="F19" t="s">
        <v>1060</v>
      </c>
      <c r="G19">
        <v>199</v>
      </c>
      <c r="H19" t="s">
        <v>185</v>
      </c>
    </row>
    <row r="20" spans="1:8" x14ac:dyDescent="0.45">
      <c r="A20">
        <v>19</v>
      </c>
      <c r="B20" t="s">
        <v>72</v>
      </c>
      <c r="C20" t="s">
        <v>321</v>
      </c>
      <c r="D20">
        <v>-6868</v>
      </c>
      <c r="E20" t="s">
        <v>322</v>
      </c>
      <c r="F20" t="s">
        <v>1060</v>
      </c>
      <c r="G20">
        <v>203</v>
      </c>
      <c r="H20" t="s">
        <v>185</v>
      </c>
    </row>
    <row r="21" spans="1:8" x14ac:dyDescent="0.45">
      <c r="A21">
        <v>20</v>
      </c>
      <c r="B21" t="s">
        <v>72</v>
      </c>
      <c r="C21" t="s">
        <v>323</v>
      </c>
      <c r="D21">
        <v>-2797.57</v>
      </c>
      <c r="E21" t="s">
        <v>324</v>
      </c>
      <c r="F21" t="s">
        <v>1060</v>
      </c>
      <c r="G21">
        <v>205</v>
      </c>
      <c r="H21" t="s">
        <v>185</v>
      </c>
    </row>
    <row r="22" spans="1:8" x14ac:dyDescent="0.45">
      <c r="A22">
        <v>21</v>
      </c>
      <c r="B22" t="s">
        <v>72</v>
      </c>
      <c r="C22" t="s">
        <v>326</v>
      </c>
      <c r="D22">
        <v>-2142</v>
      </c>
      <c r="E22" t="s">
        <v>327</v>
      </c>
      <c r="F22" t="s">
        <v>1060</v>
      </c>
      <c r="G22">
        <v>210</v>
      </c>
      <c r="H22" t="s">
        <v>185</v>
      </c>
    </row>
    <row r="23" spans="1:8" x14ac:dyDescent="0.45">
      <c r="A23">
        <v>22</v>
      </c>
      <c r="B23" t="s">
        <v>72</v>
      </c>
      <c r="C23" t="s">
        <v>330</v>
      </c>
      <c r="D23">
        <v>-3814.84</v>
      </c>
      <c r="E23" t="s">
        <v>331</v>
      </c>
      <c r="F23" t="s">
        <v>1060</v>
      </c>
      <c r="G23">
        <v>214</v>
      </c>
      <c r="H23" t="s">
        <v>185</v>
      </c>
    </row>
    <row r="24" spans="1:8" x14ac:dyDescent="0.45">
      <c r="A24">
        <v>23</v>
      </c>
      <c r="B24" t="s">
        <v>72</v>
      </c>
      <c r="C24" t="s">
        <v>315</v>
      </c>
      <c r="D24">
        <v>3256.24</v>
      </c>
      <c r="E24" t="s">
        <v>356</v>
      </c>
      <c r="F24" t="s">
        <v>1060</v>
      </c>
      <c r="G24">
        <v>277</v>
      </c>
      <c r="H24" t="s">
        <v>185</v>
      </c>
    </row>
    <row r="25" spans="1:8" x14ac:dyDescent="0.45">
      <c r="A25">
        <v>24</v>
      </c>
      <c r="B25" t="s">
        <v>72</v>
      </c>
      <c r="C25" t="s">
        <v>315</v>
      </c>
      <c r="D25">
        <v>2888.6</v>
      </c>
      <c r="E25" t="s">
        <v>358</v>
      </c>
      <c r="F25" t="s">
        <v>1060</v>
      </c>
      <c r="G25">
        <v>285</v>
      </c>
      <c r="H25" t="s">
        <v>185</v>
      </c>
    </row>
    <row r="26" spans="1:8" x14ac:dyDescent="0.45">
      <c r="A26">
        <v>25</v>
      </c>
      <c r="B26" t="s">
        <v>72</v>
      </c>
      <c r="C26" t="s">
        <v>361</v>
      </c>
      <c r="D26">
        <v>87675.66</v>
      </c>
      <c r="E26" t="s">
        <v>362</v>
      </c>
      <c r="F26" t="s">
        <v>1060</v>
      </c>
      <c r="G26">
        <v>291</v>
      </c>
      <c r="H26" t="s">
        <v>186</v>
      </c>
    </row>
    <row r="27" spans="1:8" x14ac:dyDescent="0.45">
      <c r="A27">
        <v>26</v>
      </c>
      <c r="B27" t="s">
        <v>72</v>
      </c>
      <c r="C27" t="s">
        <v>363</v>
      </c>
      <c r="D27">
        <v>-6888.15</v>
      </c>
      <c r="E27" t="s">
        <v>364</v>
      </c>
      <c r="F27" t="s">
        <v>1060</v>
      </c>
      <c r="G27">
        <v>295</v>
      </c>
      <c r="H27" t="s">
        <v>186</v>
      </c>
    </row>
    <row r="28" spans="1:8" x14ac:dyDescent="0.45">
      <c r="A28">
        <v>27</v>
      </c>
      <c r="B28" t="s">
        <v>72</v>
      </c>
      <c r="C28" t="s">
        <v>365</v>
      </c>
      <c r="D28">
        <v>-48366.559999999998</v>
      </c>
      <c r="E28" t="s">
        <v>366</v>
      </c>
      <c r="F28" t="s">
        <v>1060</v>
      </c>
      <c r="G28">
        <v>299</v>
      </c>
      <c r="H28" t="s">
        <v>186</v>
      </c>
    </row>
    <row r="29" spans="1:8" x14ac:dyDescent="0.45">
      <c r="A29">
        <v>28</v>
      </c>
      <c r="B29" t="s">
        <v>72</v>
      </c>
      <c r="C29" t="s">
        <v>367</v>
      </c>
      <c r="D29">
        <v>-6902</v>
      </c>
      <c r="E29" t="s">
        <v>368</v>
      </c>
      <c r="F29" t="s">
        <v>1060</v>
      </c>
      <c r="G29">
        <v>303</v>
      </c>
      <c r="H29" t="s">
        <v>186</v>
      </c>
    </row>
    <row r="30" spans="1:8" x14ac:dyDescent="0.45">
      <c r="A30">
        <v>29</v>
      </c>
      <c r="B30" t="s">
        <v>72</v>
      </c>
      <c r="C30" t="s">
        <v>369</v>
      </c>
      <c r="D30">
        <v>-2559.54</v>
      </c>
      <c r="E30" t="s">
        <v>370</v>
      </c>
      <c r="F30" t="s">
        <v>1060</v>
      </c>
      <c r="G30">
        <v>305</v>
      </c>
      <c r="H30" t="s">
        <v>186</v>
      </c>
    </row>
    <row r="31" spans="1:8" x14ac:dyDescent="0.45">
      <c r="A31">
        <v>30</v>
      </c>
      <c r="B31" t="s">
        <v>72</v>
      </c>
      <c r="C31" t="s">
        <v>372</v>
      </c>
      <c r="D31">
        <v>-2163</v>
      </c>
      <c r="E31" t="s">
        <v>373</v>
      </c>
      <c r="F31" t="s">
        <v>1060</v>
      </c>
      <c r="G31">
        <v>310</v>
      </c>
      <c r="H31" t="s">
        <v>186</v>
      </c>
    </row>
    <row r="32" spans="1:8" x14ac:dyDescent="0.45">
      <c r="A32">
        <v>31</v>
      </c>
      <c r="B32" t="s">
        <v>72</v>
      </c>
      <c r="C32" t="s">
        <v>376</v>
      </c>
      <c r="D32">
        <v>-3888.62</v>
      </c>
      <c r="E32" t="s">
        <v>377</v>
      </c>
      <c r="F32" t="s">
        <v>1060</v>
      </c>
      <c r="G32">
        <v>314</v>
      </c>
      <c r="H32" t="s">
        <v>186</v>
      </c>
    </row>
    <row r="33" spans="1:8" x14ac:dyDescent="0.45">
      <c r="A33">
        <v>32</v>
      </c>
      <c r="B33" t="s">
        <v>72</v>
      </c>
      <c r="C33" t="s">
        <v>401</v>
      </c>
      <c r="D33">
        <v>3288.48</v>
      </c>
      <c r="E33" t="s">
        <v>403</v>
      </c>
      <c r="F33" t="s">
        <v>1060</v>
      </c>
      <c r="G33">
        <v>377</v>
      </c>
      <c r="H33" t="s">
        <v>186</v>
      </c>
    </row>
    <row r="34" spans="1:8" x14ac:dyDescent="0.45">
      <c r="A34">
        <v>33</v>
      </c>
      <c r="B34" t="s">
        <v>72</v>
      </c>
      <c r="C34" t="s">
        <v>401</v>
      </c>
      <c r="D34">
        <v>2917.2</v>
      </c>
      <c r="E34" t="s">
        <v>405</v>
      </c>
      <c r="F34" t="s">
        <v>1060</v>
      </c>
      <c r="G34">
        <v>385</v>
      </c>
      <c r="H34" t="s">
        <v>186</v>
      </c>
    </row>
    <row r="35" spans="1:8" x14ac:dyDescent="0.45">
      <c r="A35">
        <v>34</v>
      </c>
      <c r="B35" t="s">
        <v>72</v>
      </c>
      <c r="C35" t="s">
        <v>408</v>
      </c>
      <c r="D35">
        <v>85800.639999999999</v>
      </c>
      <c r="E35" t="s">
        <v>409</v>
      </c>
      <c r="F35" t="s">
        <v>1060</v>
      </c>
      <c r="G35">
        <v>391</v>
      </c>
      <c r="H35" t="s">
        <v>187</v>
      </c>
    </row>
    <row r="36" spans="1:8" x14ac:dyDescent="0.45">
      <c r="A36">
        <v>35</v>
      </c>
      <c r="B36" t="s">
        <v>72</v>
      </c>
      <c r="C36" t="s">
        <v>410</v>
      </c>
      <c r="D36">
        <v>-6921.05</v>
      </c>
      <c r="E36" t="s">
        <v>411</v>
      </c>
      <c r="F36" t="s">
        <v>1060</v>
      </c>
      <c r="G36">
        <v>395</v>
      </c>
      <c r="H36" t="s">
        <v>187</v>
      </c>
    </row>
    <row r="37" spans="1:8" x14ac:dyDescent="0.45">
      <c r="A37">
        <v>36</v>
      </c>
      <c r="B37" t="s">
        <v>72</v>
      </c>
      <c r="C37" t="s">
        <v>412</v>
      </c>
      <c r="D37">
        <v>-48927.43</v>
      </c>
      <c r="E37" t="s">
        <v>413</v>
      </c>
      <c r="F37" t="s">
        <v>1060</v>
      </c>
      <c r="G37">
        <v>399</v>
      </c>
      <c r="H37" t="s">
        <v>187</v>
      </c>
    </row>
    <row r="38" spans="1:8" x14ac:dyDescent="0.45">
      <c r="A38">
        <v>37</v>
      </c>
      <c r="B38" t="s">
        <v>72</v>
      </c>
      <c r="C38" t="s">
        <v>414</v>
      </c>
      <c r="D38">
        <v>-6936</v>
      </c>
      <c r="E38" t="s">
        <v>415</v>
      </c>
      <c r="F38" t="s">
        <v>1060</v>
      </c>
      <c r="G38">
        <v>403</v>
      </c>
      <c r="H38" t="s">
        <v>187</v>
      </c>
    </row>
    <row r="39" spans="1:8" x14ac:dyDescent="0.45">
      <c r="A39">
        <v>38</v>
      </c>
      <c r="B39" t="s">
        <v>72</v>
      </c>
      <c r="C39" t="s">
        <v>416</v>
      </c>
      <c r="D39">
        <v>-2542.31</v>
      </c>
      <c r="E39" t="s">
        <v>417</v>
      </c>
      <c r="F39" t="s">
        <v>1060</v>
      </c>
      <c r="G39">
        <v>405</v>
      </c>
      <c r="H39" t="s">
        <v>187</v>
      </c>
    </row>
    <row r="40" spans="1:8" x14ac:dyDescent="0.45">
      <c r="A40">
        <v>39</v>
      </c>
      <c r="B40" t="s">
        <v>72</v>
      </c>
      <c r="C40" t="s">
        <v>419</v>
      </c>
      <c r="D40">
        <v>-2184</v>
      </c>
      <c r="E40" t="s">
        <v>420</v>
      </c>
      <c r="F40" t="s">
        <v>1060</v>
      </c>
      <c r="G40">
        <v>410</v>
      </c>
      <c r="H40" t="s">
        <v>187</v>
      </c>
    </row>
    <row r="41" spans="1:8" x14ac:dyDescent="0.45">
      <c r="A41">
        <v>40</v>
      </c>
      <c r="B41" t="s">
        <v>72</v>
      </c>
      <c r="C41" t="s">
        <v>423</v>
      </c>
      <c r="D41">
        <v>-3591.95</v>
      </c>
      <c r="E41" t="s">
        <v>424</v>
      </c>
      <c r="F41" t="s">
        <v>1060</v>
      </c>
      <c r="G41">
        <v>414</v>
      </c>
      <c r="H41" t="s">
        <v>187</v>
      </c>
    </row>
    <row r="42" spans="1:8" x14ac:dyDescent="0.45">
      <c r="A42">
        <v>41</v>
      </c>
      <c r="B42" t="s">
        <v>72</v>
      </c>
      <c r="C42" t="s">
        <v>447</v>
      </c>
      <c r="D42">
        <v>3320.72</v>
      </c>
      <c r="E42" t="s">
        <v>449</v>
      </c>
      <c r="F42" t="s">
        <v>1060</v>
      </c>
      <c r="G42">
        <v>477</v>
      </c>
      <c r="H42" t="s">
        <v>187</v>
      </c>
    </row>
    <row r="43" spans="1:8" x14ac:dyDescent="0.45">
      <c r="A43">
        <v>42</v>
      </c>
      <c r="B43" t="s">
        <v>72</v>
      </c>
      <c r="C43" t="s">
        <v>447</v>
      </c>
      <c r="D43">
        <v>2945.8</v>
      </c>
      <c r="E43" t="s">
        <v>451</v>
      </c>
      <c r="F43" t="s">
        <v>1060</v>
      </c>
      <c r="G43">
        <v>485</v>
      </c>
      <c r="H43" t="s">
        <v>187</v>
      </c>
    </row>
    <row r="44" spans="1:8" x14ac:dyDescent="0.45">
      <c r="A44">
        <v>43</v>
      </c>
      <c r="B44" t="s">
        <v>72</v>
      </c>
      <c r="C44" t="s">
        <v>454</v>
      </c>
      <c r="D44">
        <v>94331.5</v>
      </c>
      <c r="E44" t="s">
        <v>455</v>
      </c>
      <c r="F44" t="s">
        <v>1060</v>
      </c>
      <c r="G44">
        <v>491</v>
      </c>
      <c r="H44" t="s">
        <v>188</v>
      </c>
    </row>
    <row r="45" spans="1:8" x14ac:dyDescent="0.45">
      <c r="A45">
        <v>44</v>
      </c>
      <c r="B45" t="s">
        <v>72</v>
      </c>
      <c r="C45" t="s">
        <v>456</v>
      </c>
      <c r="D45">
        <v>-7474.73</v>
      </c>
      <c r="E45" t="s">
        <v>457</v>
      </c>
      <c r="F45" t="s">
        <v>1060</v>
      </c>
      <c r="G45">
        <v>495</v>
      </c>
      <c r="H45" t="s">
        <v>188</v>
      </c>
    </row>
    <row r="46" spans="1:8" x14ac:dyDescent="0.45">
      <c r="A46">
        <v>45</v>
      </c>
      <c r="B46" t="s">
        <v>72</v>
      </c>
      <c r="C46" t="s">
        <v>458</v>
      </c>
      <c r="D46">
        <v>-49488.31</v>
      </c>
      <c r="E46" t="s">
        <v>459</v>
      </c>
      <c r="F46" t="s">
        <v>1060</v>
      </c>
      <c r="G46">
        <v>499</v>
      </c>
      <c r="H46" t="s">
        <v>188</v>
      </c>
    </row>
    <row r="47" spans="1:8" x14ac:dyDescent="0.45">
      <c r="A47">
        <v>46</v>
      </c>
      <c r="B47" t="s">
        <v>72</v>
      </c>
      <c r="C47" t="s">
        <v>460</v>
      </c>
      <c r="D47">
        <v>-6970</v>
      </c>
      <c r="E47" t="s">
        <v>461</v>
      </c>
      <c r="F47" t="s">
        <v>1060</v>
      </c>
      <c r="G47">
        <v>503</v>
      </c>
      <c r="H47" t="s">
        <v>188</v>
      </c>
    </row>
    <row r="48" spans="1:8" x14ac:dyDescent="0.45">
      <c r="A48">
        <v>47</v>
      </c>
      <c r="B48" t="s">
        <v>72</v>
      </c>
      <c r="C48" t="s">
        <v>462</v>
      </c>
      <c r="D48">
        <v>-2714.62</v>
      </c>
      <c r="E48" t="s">
        <v>463</v>
      </c>
      <c r="F48" t="s">
        <v>1060</v>
      </c>
      <c r="G48">
        <v>505</v>
      </c>
      <c r="H48" t="s">
        <v>188</v>
      </c>
    </row>
    <row r="49" spans="1:8" x14ac:dyDescent="0.45">
      <c r="A49">
        <v>48</v>
      </c>
      <c r="B49" t="s">
        <v>72</v>
      </c>
      <c r="C49" t="s">
        <v>465</v>
      </c>
      <c r="D49">
        <v>-2205</v>
      </c>
      <c r="E49" t="s">
        <v>466</v>
      </c>
      <c r="F49" t="s">
        <v>1060</v>
      </c>
      <c r="G49">
        <v>510</v>
      </c>
      <c r="H49" t="s">
        <v>188</v>
      </c>
    </row>
    <row r="50" spans="1:8" x14ac:dyDescent="0.45">
      <c r="A50">
        <v>49</v>
      </c>
      <c r="B50" t="s">
        <v>72</v>
      </c>
      <c r="C50" t="s">
        <v>469</v>
      </c>
      <c r="D50">
        <v>-3601.74</v>
      </c>
      <c r="E50" t="s">
        <v>470</v>
      </c>
      <c r="F50" t="s">
        <v>1060</v>
      </c>
      <c r="G50">
        <v>514</v>
      </c>
      <c r="H50" t="s">
        <v>188</v>
      </c>
    </row>
    <row r="51" spans="1:8" x14ac:dyDescent="0.45">
      <c r="A51">
        <v>50</v>
      </c>
      <c r="B51" t="s">
        <v>72</v>
      </c>
      <c r="C51" t="s">
        <v>494</v>
      </c>
      <c r="D51">
        <v>3352.96</v>
      </c>
      <c r="E51" t="s">
        <v>496</v>
      </c>
      <c r="F51" t="s">
        <v>1060</v>
      </c>
      <c r="G51">
        <v>577</v>
      </c>
      <c r="H51" t="s">
        <v>188</v>
      </c>
    </row>
    <row r="52" spans="1:8" x14ac:dyDescent="0.45">
      <c r="A52">
        <v>51</v>
      </c>
      <c r="B52" t="s">
        <v>72</v>
      </c>
      <c r="C52" t="s">
        <v>494</v>
      </c>
      <c r="D52">
        <v>2974.4</v>
      </c>
      <c r="E52" t="s">
        <v>498</v>
      </c>
      <c r="F52" t="s">
        <v>1060</v>
      </c>
      <c r="G52">
        <v>585</v>
      </c>
      <c r="H52" t="s">
        <v>188</v>
      </c>
    </row>
    <row r="53" spans="1:8" x14ac:dyDescent="0.45">
      <c r="A53">
        <v>52</v>
      </c>
      <c r="B53" t="s">
        <v>72</v>
      </c>
      <c r="C53" t="s">
        <v>501</v>
      </c>
      <c r="D53">
        <v>96535.07</v>
      </c>
      <c r="E53" t="s">
        <v>502</v>
      </c>
      <c r="F53" t="s">
        <v>1060</v>
      </c>
      <c r="G53">
        <v>591</v>
      </c>
      <c r="H53" t="s">
        <v>189</v>
      </c>
    </row>
    <row r="54" spans="1:8" x14ac:dyDescent="0.45">
      <c r="A54">
        <v>53</v>
      </c>
      <c r="B54" t="s">
        <v>72</v>
      </c>
      <c r="C54" t="s">
        <v>503</v>
      </c>
      <c r="D54">
        <v>-7287.55</v>
      </c>
      <c r="E54" t="s">
        <v>504</v>
      </c>
      <c r="F54" t="s">
        <v>1060</v>
      </c>
      <c r="G54">
        <v>595</v>
      </c>
      <c r="H54" t="s">
        <v>189</v>
      </c>
    </row>
    <row r="55" spans="1:8" x14ac:dyDescent="0.45">
      <c r="A55">
        <v>54</v>
      </c>
      <c r="B55" t="s">
        <v>72</v>
      </c>
      <c r="C55" t="s">
        <v>505</v>
      </c>
      <c r="D55">
        <v>-50049.19</v>
      </c>
      <c r="E55" t="s">
        <v>506</v>
      </c>
      <c r="F55" t="s">
        <v>1060</v>
      </c>
      <c r="G55">
        <v>599</v>
      </c>
      <c r="H55" t="s">
        <v>189</v>
      </c>
    </row>
    <row r="56" spans="1:8" x14ac:dyDescent="0.45">
      <c r="A56">
        <v>55</v>
      </c>
      <c r="B56" t="s">
        <v>72</v>
      </c>
      <c r="C56" t="s">
        <v>507</v>
      </c>
      <c r="D56">
        <v>-7004</v>
      </c>
      <c r="E56" t="s">
        <v>508</v>
      </c>
      <c r="F56" t="s">
        <v>1060</v>
      </c>
      <c r="G56">
        <v>603</v>
      </c>
      <c r="H56" t="s">
        <v>189</v>
      </c>
    </row>
    <row r="57" spans="1:8" x14ac:dyDescent="0.45">
      <c r="A57">
        <v>56</v>
      </c>
      <c r="B57" t="s">
        <v>72</v>
      </c>
      <c r="C57" t="s">
        <v>509</v>
      </c>
      <c r="D57">
        <v>-2617.0100000000002</v>
      </c>
      <c r="E57" t="s">
        <v>510</v>
      </c>
      <c r="F57" t="s">
        <v>1060</v>
      </c>
      <c r="G57">
        <v>605</v>
      </c>
      <c r="H57" t="s">
        <v>189</v>
      </c>
    </row>
    <row r="58" spans="1:8" x14ac:dyDescent="0.45">
      <c r="A58">
        <v>57</v>
      </c>
      <c r="B58" t="s">
        <v>72</v>
      </c>
      <c r="C58" t="s">
        <v>512</v>
      </c>
      <c r="D58">
        <v>-2226</v>
      </c>
      <c r="E58" t="s">
        <v>513</v>
      </c>
      <c r="F58" t="s">
        <v>1060</v>
      </c>
      <c r="G58">
        <v>610</v>
      </c>
      <c r="H58" t="s">
        <v>189</v>
      </c>
    </row>
    <row r="59" spans="1:8" x14ac:dyDescent="0.45">
      <c r="A59">
        <v>58</v>
      </c>
      <c r="B59" t="s">
        <v>72</v>
      </c>
      <c r="C59" t="s">
        <v>516</v>
      </c>
      <c r="D59">
        <v>-3882.11</v>
      </c>
      <c r="E59" t="s">
        <v>517</v>
      </c>
      <c r="F59" t="s">
        <v>1060</v>
      </c>
      <c r="G59">
        <v>614</v>
      </c>
      <c r="H59" t="s">
        <v>189</v>
      </c>
    </row>
    <row r="60" spans="1:8" x14ac:dyDescent="0.45">
      <c r="A60">
        <v>59</v>
      </c>
      <c r="B60" t="s">
        <v>72</v>
      </c>
      <c r="C60" t="s">
        <v>541</v>
      </c>
      <c r="D60">
        <v>3385.2</v>
      </c>
      <c r="E60" t="s">
        <v>543</v>
      </c>
      <c r="F60" t="s">
        <v>1060</v>
      </c>
      <c r="G60">
        <v>677</v>
      </c>
      <c r="H60" t="s">
        <v>189</v>
      </c>
    </row>
    <row r="61" spans="1:8" x14ac:dyDescent="0.45">
      <c r="A61">
        <v>60</v>
      </c>
      <c r="B61" t="s">
        <v>72</v>
      </c>
      <c r="C61" t="s">
        <v>541</v>
      </c>
      <c r="D61">
        <v>3003</v>
      </c>
      <c r="E61" t="s">
        <v>545</v>
      </c>
      <c r="F61" t="s">
        <v>1060</v>
      </c>
      <c r="G61">
        <v>685</v>
      </c>
      <c r="H61" t="s">
        <v>189</v>
      </c>
    </row>
    <row r="62" spans="1:8" x14ac:dyDescent="0.45">
      <c r="A62">
        <v>61</v>
      </c>
      <c r="B62" t="s">
        <v>72</v>
      </c>
      <c r="C62" t="s">
        <v>548</v>
      </c>
      <c r="D62">
        <v>80920.56</v>
      </c>
      <c r="E62" t="s">
        <v>549</v>
      </c>
      <c r="F62" t="s">
        <v>1060</v>
      </c>
      <c r="G62">
        <v>691</v>
      </c>
      <c r="H62" t="s">
        <v>190</v>
      </c>
    </row>
    <row r="63" spans="1:8" x14ac:dyDescent="0.45">
      <c r="A63">
        <v>62</v>
      </c>
      <c r="B63" t="s">
        <v>72</v>
      </c>
      <c r="C63" t="s">
        <v>550</v>
      </c>
      <c r="D63">
        <v>-6602.78</v>
      </c>
      <c r="E63" t="s">
        <v>551</v>
      </c>
      <c r="F63" t="s">
        <v>1060</v>
      </c>
      <c r="G63">
        <v>695</v>
      </c>
      <c r="H63" t="s">
        <v>190</v>
      </c>
    </row>
    <row r="64" spans="1:8" x14ac:dyDescent="0.45">
      <c r="A64">
        <v>63</v>
      </c>
      <c r="B64" t="s">
        <v>72</v>
      </c>
      <c r="C64" t="s">
        <v>552</v>
      </c>
      <c r="D64">
        <v>-50610.07</v>
      </c>
      <c r="E64" t="s">
        <v>553</v>
      </c>
      <c r="F64" t="s">
        <v>1060</v>
      </c>
      <c r="G64">
        <v>699</v>
      </c>
      <c r="H64" t="s">
        <v>190</v>
      </c>
    </row>
    <row r="65" spans="1:8" x14ac:dyDescent="0.45">
      <c r="A65">
        <v>64</v>
      </c>
      <c r="B65" t="s">
        <v>72</v>
      </c>
      <c r="C65" t="s">
        <v>554</v>
      </c>
      <c r="D65">
        <v>-7038</v>
      </c>
      <c r="E65" t="s">
        <v>555</v>
      </c>
      <c r="F65" t="s">
        <v>1060</v>
      </c>
      <c r="G65">
        <v>703</v>
      </c>
      <c r="H65" t="s">
        <v>190</v>
      </c>
    </row>
    <row r="66" spans="1:8" x14ac:dyDescent="0.45">
      <c r="A66">
        <v>65</v>
      </c>
      <c r="B66" t="s">
        <v>72</v>
      </c>
      <c r="C66" t="s">
        <v>556</v>
      </c>
      <c r="D66">
        <v>-2344.86</v>
      </c>
      <c r="E66" t="s">
        <v>557</v>
      </c>
      <c r="F66" t="s">
        <v>1060</v>
      </c>
      <c r="G66">
        <v>705</v>
      </c>
      <c r="H66" t="s">
        <v>190</v>
      </c>
    </row>
    <row r="67" spans="1:8" x14ac:dyDescent="0.45">
      <c r="A67">
        <v>66</v>
      </c>
      <c r="B67" t="s">
        <v>72</v>
      </c>
      <c r="C67" t="s">
        <v>559</v>
      </c>
      <c r="D67">
        <v>-2247</v>
      </c>
      <c r="E67" t="s">
        <v>560</v>
      </c>
      <c r="F67" t="s">
        <v>1060</v>
      </c>
      <c r="G67">
        <v>710</v>
      </c>
      <c r="H67" t="s">
        <v>190</v>
      </c>
    </row>
    <row r="68" spans="1:8" x14ac:dyDescent="0.45">
      <c r="A68">
        <v>67</v>
      </c>
      <c r="B68" t="s">
        <v>72</v>
      </c>
      <c r="C68" t="s">
        <v>563</v>
      </c>
      <c r="D68">
        <v>-3777.49</v>
      </c>
      <c r="E68" t="s">
        <v>564</v>
      </c>
      <c r="F68" t="s">
        <v>1060</v>
      </c>
      <c r="G68">
        <v>714</v>
      </c>
      <c r="H68" t="s">
        <v>190</v>
      </c>
    </row>
    <row r="69" spans="1:8" x14ac:dyDescent="0.45">
      <c r="A69">
        <v>68</v>
      </c>
      <c r="B69" t="s">
        <v>72</v>
      </c>
      <c r="C69" t="s">
        <v>548</v>
      </c>
      <c r="D69">
        <v>3417.44</v>
      </c>
      <c r="E69" t="s">
        <v>589</v>
      </c>
      <c r="F69" t="s">
        <v>1060</v>
      </c>
      <c r="G69">
        <v>777</v>
      </c>
      <c r="H69" t="s">
        <v>190</v>
      </c>
    </row>
    <row r="70" spans="1:8" x14ac:dyDescent="0.45">
      <c r="A70">
        <v>69</v>
      </c>
      <c r="B70" t="s">
        <v>72</v>
      </c>
      <c r="C70" t="s">
        <v>548</v>
      </c>
      <c r="D70">
        <v>3031.6</v>
      </c>
      <c r="E70" t="s">
        <v>591</v>
      </c>
      <c r="F70" t="s">
        <v>1060</v>
      </c>
      <c r="G70">
        <v>785</v>
      </c>
      <c r="H70" t="s">
        <v>190</v>
      </c>
    </row>
    <row r="71" spans="1:8" x14ac:dyDescent="0.45">
      <c r="A71">
        <v>70</v>
      </c>
      <c r="B71" t="s">
        <v>72</v>
      </c>
      <c r="C71" t="s">
        <v>594</v>
      </c>
      <c r="D71">
        <v>93231.9</v>
      </c>
      <c r="E71" t="s">
        <v>595</v>
      </c>
      <c r="F71" t="s">
        <v>1060</v>
      </c>
      <c r="G71">
        <v>791</v>
      </c>
      <c r="H71" t="s">
        <v>191</v>
      </c>
    </row>
    <row r="72" spans="1:8" x14ac:dyDescent="0.45">
      <c r="A72">
        <v>71</v>
      </c>
      <c r="B72" t="s">
        <v>72</v>
      </c>
      <c r="C72" t="s">
        <v>596</v>
      </c>
      <c r="D72">
        <v>-7238.74</v>
      </c>
      <c r="E72" t="s">
        <v>597</v>
      </c>
      <c r="F72" t="s">
        <v>1060</v>
      </c>
      <c r="G72">
        <v>795</v>
      </c>
      <c r="H72" t="s">
        <v>191</v>
      </c>
    </row>
    <row r="73" spans="1:8" x14ac:dyDescent="0.45">
      <c r="A73">
        <v>72</v>
      </c>
      <c r="B73" t="s">
        <v>72</v>
      </c>
      <c r="C73" t="s">
        <v>598</v>
      </c>
      <c r="D73">
        <v>-51170.96</v>
      </c>
      <c r="E73" t="s">
        <v>599</v>
      </c>
      <c r="F73" t="s">
        <v>1060</v>
      </c>
      <c r="G73">
        <v>799</v>
      </c>
      <c r="H73" t="s">
        <v>191</v>
      </c>
    </row>
    <row r="74" spans="1:8" x14ac:dyDescent="0.45">
      <c r="A74">
        <v>73</v>
      </c>
      <c r="B74" t="s">
        <v>72</v>
      </c>
      <c r="C74" t="s">
        <v>600</v>
      </c>
      <c r="D74">
        <v>-7072</v>
      </c>
      <c r="E74" t="s">
        <v>601</v>
      </c>
      <c r="F74" t="s">
        <v>1060</v>
      </c>
      <c r="G74">
        <v>803</v>
      </c>
      <c r="H74" t="s">
        <v>191</v>
      </c>
    </row>
    <row r="75" spans="1:8" x14ac:dyDescent="0.45">
      <c r="A75">
        <v>74</v>
      </c>
      <c r="B75" t="s">
        <v>72</v>
      </c>
      <c r="C75" t="s">
        <v>602</v>
      </c>
      <c r="D75">
        <v>-2542.56</v>
      </c>
      <c r="E75" t="s">
        <v>603</v>
      </c>
      <c r="F75" t="s">
        <v>1060</v>
      </c>
      <c r="G75">
        <v>805</v>
      </c>
      <c r="H75" t="s">
        <v>191</v>
      </c>
    </row>
    <row r="76" spans="1:8" x14ac:dyDescent="0.45">
      <c r="A76">
        <v>75</v>
      </c>
      <c r="B76" t="s">
        <v>72</v>
      </c>
      <c r="C76" t="s">
        <v>605</v>
      </c>
      <c r="D76">
        <v>-2268</v>
      </c>
      <c r="E76" t="s">
        <v>606</v>
      </c>
      <c r="F76" t="s">
        <v>1060</v>
      </c>
      <c r="G76">
        <v>810</v>
      </c>
      <c r="H76" t="s">
        <v>191</v>
      </c>
    </row>
    <row r="77" spans="1:8" x14ac:dyDescent="0.45">
      <c r="A77">
        <v>76</v>
      </c>
      <c r="B77" t="s">
        <v>72</v>
      </c>
      <c r="C77" t="s">
        <v>608</v>
      </c>
      <c r="D77">
        <v>-3415.98</v>
      </c>
      <c r="E77" t="s">
        <v>609</v>
      </c>
      <c r="F77" t="s">
        <v>1060</v>
      </c>
      <c r="G77">
        <v>814</v>
      </c>
      <c r="H77" t="s">
        <v>191</v>
      </c>
    </row>
    <row r="78" spans="1:8" x14ac:dyDescent="0.45">
      <c r="A78">
        <v>77</v>
      </c>
      <c r="B78" t="s">
        <v>72</v>
      </c>
      <c r="C78" t="s">
        <v>633</v>
      </c>
      <c r="D78">
        <v>3449.68</v>
      </c>
      <c r="E78" t="s">
        <v>635</v>
      </c>
      <c r="F78" t="s">
        <v>1060</v>
      </c>
      <c r="G78">
        <v>877</v>
      </c>
      <c r="H78" t="s">
        <v>191</v>
      </c>
    </row>
    <row r="79" spans="1:8" x14ac:dyDescent="0.45">
      <c r="A79">
        <v>78</v>
      </c>
      <c r="B79" t="s">
        <v>72</v>
      </c>
      <c r="C79" t="s">
        <v>633</v>
      </c>
      <c r="D79">
        <v>3060.2</v>
      </c>
      <c r="E79" t="s">
        <v>637</v>
      </c>
      <c r="F79" t="s">
        <v>1060</v>
      </c>
      <c r="G79">
        <v>885</v>
      </c>
      <c r="H79" t="s">
        <v>191</v>
      </c>
    </row>
    <row r="80" spans="1:8" x14ac:dyDescent="0.45">
      <c r="A80">
        <v>79</v>
      </c>
      <c r="B80" t="s">
        <v>72</v>
      </c>
      <c r="C80" t="s">
        <v>640</v>
      </c>
      <c r="D80">
        <v>87146.06</v>
      </c>
      <c r="E80" t="s">
        <v>641</v>
      </c>
      <c r="F80" t="s">
        <v>1060</v>
      </c>
      <c r="G80">
        <v>891</v>
      </c>
      <c r="H80" t="s">
        <v>192</v>
      </c>
    </row>
    <row r="81" spans="1:8" x14ac:dyDescent="0.45">
      <c r="A81">
        <v>80</v>
      </c>
      <c r="B81" t="s">
        <v>72</v>
      </c>
      <c r="C81" t="s">
        <v>642</v>
      </c>
      <c r="D81">
        <v>-6671.56</v>
      </c>
      <c r="E81" t="s">
        <v>643</v>
      </c>
      <c r="F81" t="s">
        <v>1060</v>
      </c>
      <c r="G81">
        <v>895</v>
      </c>
      <c r="H81" t="s">
        <v>192</v>
      </c>
    </row>
    <row r="82" spans="1:8" x14ac:dyDescent="0.45">
      <c r="A82">
        <v>81</v>
      </c>
      <c r="B82" t="s">
        <v>72</v>
      </c>
      <c r="C82" t="s">
        <v>644</v>
      </c>
      <c r="D82">
        <v>-51731.83</v>
      </c>
      <c r="E82" t="s">
        <v>645</v>
      </c>
      <c r="F82" t="s">
        <v>1060</v>
      </c>
      <c r="G82">
        <v>899</v>
      </c>
      <c r="H82" t="s">
        <v>192</v>
      </c>
    </row>
    <row r="83" spans="1:8" x14ac:dyDescent="0.45">
      <c r="A83">
        <v>82</v>
      </c>
      <c r="B83" t="s">
        <v>72</v>
      </c>
      <c r="C83" t="s">
        <v>646</v>
      </c>
      <c r="D83">
        <v>-7106</v>
      </c>
      <c r="E83" t="s">
        <v>647</v>
      </c>
      <c r="F83" t="s">
        <v>1060</v>
      </c>
      <c r="G83">
        <v>903</v>
      </c>
      <c r="H83" t="s">
        <v>192</v>
      </c>
    </row>
    <row r="84" spans="1:8" x14ac:dyDescent="0.45">
      <c r="A84">
        <v>83</v>
      </c>
      <c r="B84" t="s">
        <v>72</v>
      </c>
      <c r="C84" t="s">
        <v>648</v>
      </c>
      <c r="D84">
        <v>-2317.96</v>
      </c>
      <c r="E84" t="s">
        <v>649</v>
      </c>
      <c r="F84" t="s">
        <v>1060</v>
      </c>
      <c r="G84">
        <v>905</v>
      </c>
      <c r="H84" t="s">
        <v>192</v>
      </c>
    </row>
    <row r="85" spans="1:8" x14ac:dyDescent="0.45">
      <c r="A85">
        <v>84</v>
      </c>
      <c r="B85" t="s">
        <v>72</v>
      </c>
      <c r="C85" t="s">
        <v>651</v>
      </c>
      <c r="D85">
        <v>-2289</v>
      </c>
      <c r="E85" t="s">
        <v>652</v>
      </c>
      <c r="F85" t="s">
        <v>1060</v>
      </c>
      <c r="G85">
        <v>910</v>
      </c>
      <c r="H85" t="s">
        <v>192</v>
      </c>
    </row>
    <row r="86" spans="1:8" x14ac:dyDescent="0.45">
      <c r="A86">
        <v>85</v>
      </c>
      <c r="B86" t="s">
        <v>72</v>
      </c>
      <c r="C86" t="s">
        <v>655</v>
      </c>
      <c r="D86">
        <v>-3737.96</v>
      </c>
      <c r="E86" t="s">
        <v>656</v>
      </c>
      <c r="F86" t="s">
        <v>1060</v>
      </c>
      <c r="G86">
        <v>914</v>
      </c>
      <c r="H86" t="s">
        <v>192</v>
      </c>
    </row>
    <row r="87" spans="1:8" x14ac:dyDescent="0.45">
      <c r="A87">
        <v>86</v>
      </c>
      <c r="B87" t="s">
        <v>72</v>
      </c>
      <c r="C87" t="s">
        <v>680</v>
      </c>
      <c r="D87">
        <v>3481.92</v>
      </c>
      <c r="E87" t="s">
        <v>682</v>
      </c>
      <c r="F87" t="s">
        <v>1060</v>
      </c>
      <c r="G87">
        <v>977</v>
      </c>
      <c r="H87" t="s">
        <v>192</v>
      </c>
    </row>
    <row r="88" spans="1:8" x14ac:dyDescent="0.45">
      <c r="A88">
        <v>87</v>
      </c>
      <c r="B88" t="s">
        <v>72</v>
      </c>
      <c r="C88" t="s">
        <v>680</v>
      </c>
      <c r="D88">
        <v>3088.8</v>
      </c>
      <c r="E88" t="s">
        <v>684</v>
      </c>
      <c r="F88" t="s">
        <v>1060</v>
      </c>
      <c r="G88">
        <v>985</v>
      </c>
      <c r="H88" t="s">
        <v>192</v>
      </c>
    </row>
    <row r="89" spans="1:8" x14ac:dyDescent="0.45">
      <c r="A89">
        <v>88</v>
      </c>
      <c r="B89" t="s">
        <v>72</v>
      </c>
      <c r="C89" t="s">
        <v>687</v>
      </c>
      <c r="D89">
        <v>99507.74</v>
      </c>
      <c r="E89" t="s">
        <v>688</v>
      </c>
      <c r="F89" t="s">
        <v>1060</v>
      </c>
      <c r="G89">
        <v>991</v>
      </c>
      <c r="H89" t="s">
        <v>193</v>
      </c>
    </row>
    <row r="90" spans="1:8" x14ac:dyDescent="0.45">
      <c r="A90">
        <v>89</v>
      </c>
      <c r="B90" t="s">
        <v>72</v>
      </c>
      <c r="C90" t="s">
        <v>689</v>
      </c>
      <c r="D90">
        <v>-7896.97</v>
      </c>
      <c r="E90" t="s">
        <v>690</v>
      </c>
      <c r="F90" t="s">
        <v>1060</v>
      </c>
      <c r="G90">
        <v>995</v>
      </c>
      <c r="H90" t="s">
        <v>193</v>
      </c>
    </row>
    <row r="91" spans="1:8" x14ac:dyDescent="0.45">
      <c r="A91">
        <v>90</v>
      </c>
      <c r="B91" t="s">
        <v>72</v>
      </c>
      <c r="C91" t="s">
        <v>691</v>
      </c>
      <c r="D91">
        <v>-52292.71</v>
      </c>
      <c r="E91" t="s">
        <v>692</v>
      </c>
      <c r="F91" t="s">
        <v>1060</v>
      </c>
      <c r="G91">
        <v>999</v>
      </c>
      <c r="H91" t="s">
        <v>193</v>
      </c>
    </row>
    <row r="92" spans="1:8" x14ac:dyDescent="0.45">
      <c r="A92">
        <v>91</v>
      </c>
      <c r="B92" t="s">
        <v>72</v>
      </c>
      <c r="C92" t="s">
        <v>693</v>
      </c>
      <c r="D92">
        <v>-7140</v>
      </c>
      <c r="E92" t="s">
        <v>694</v>
      </c>
      <c r="F92" t="s">
        <v>1060</v>
      </c>
      <c r="G92">
        <v>1003</v>
      </c>
      <c r="H92" t="s">
        <v>193</v>
      </c>
    </row>
    <row r="93" spans="1:8" x14ac:dyDescent="0.45">
      <c r="A93">
        <v>92</v>
      </c>
      <c r="B93" t="s">
        <v>72</v>
      </c>
      <c r="C93" t="s">
        <v>695</v>
      </c>
      <c r="D93">
        <v>-2714.32</v>
      </c>
      <c r="E93" t="s">
        <v>696</v>
      </c>
      <c r="F93" t="s">
        <v>1060</v>
      </c>
      <c r="G93">
        <v>1005</v>
      </c>
      <c r="H93" t="s">
        <v>193</v>
      </c>
    </row>
    <row r="94" spans="1:8" x14ac:dyDescent="0.45">
      <c r="A94">
        <v>93</v>
      </c>
      <c r="B94" t="s">
        <v>72</v>
      </c>
      <c r="C94" t="s">
        <v>698</v>
      </c>
      <c r="D94">
        <v>-2310</v>
      </c>
      <c r="E94" t="s">
        <v>699</v>
      </c>
      <c r="F94" t="s">
        <v>1060</v>
      </c>
      <c r="G94">
        <v>1010</v>
      </c>
      <c r="H94" t="s">
        <v>193</v>
      </c>
    </row>
    <row r="95" spans="1:8" x14ac:dyDescent="0.45">
      <c r="A95">
        <v>94</v>
      </c>
      <c r="B95" t="s">
        <v>72</v>
      </c>
      <c r="C95" t="s">
        <v>702</v>
      </c>
      <c r="D95">
        <v>-3438.73</v>
      </c>
      <c r="E95" t="s">
        <v>703</v>
      </c>
      <c r="F95" t="s">
        <v>1060</v>
      </c>
      <c r="G95">
        <v>1014</v>
      </c>
      <c r="H95" t="s">
        <v>193</v>
      </c>
    </row>
    <row r="96" spans="1:8" x14ac:dyDescent="0.45">
      <c r="A96">
        <v>95</v>
      </c>
      <c r="B96" t="s">
        <v>72</v>
      </c>
      <c r="C96" t="s">
        <v>687</v>
      </c>
      <c r="D96">
        <v>3514.16</v>
      </c>
      <c r="E96" t="s">
        <v>728</v>
      </c>
      <c r="F96" t="s">
        <v>1060</v>
      </c>
      <c r="G96">
        <v>1077</v>
      </c>
      <c r="H96" t="s">
        <v>193</v>
      </c>
    </row>
    <row r="97" spans="1:8" x14ac:dyDescent="0.45">
      <c r="A97">
        <v>96</v>
      </c>
      <c r="B97" t="s">
        <v>72</v>
      </c>
      <c r="C97" t="s">
        <v>687</v>
      </c>
      <c r="D97">
        <v>3117.4</v>
      </c>
      <c r="E97" t="s">
        <v>730</v>
      </c>
      <c r="F97" t="s">
        <v>1060</v>
      </c>
      <c r="G97">
        <v>1085</v>
      </c>
      <c r="H97" t="s">
        <v>193</v>
      </c>
    </row>
    <row r="98" spans="1:8" x14ac:dyDescent="0.45">
      <c r="A98">
        <v>97</v>
      </c>
      <c r="B98" t="s">
        <v>72</v>
      </c>
      <c r="C98" t="s">
        <v>733</v>
      </c>
      <c r="D98">
        <v>94813.45</v>
      </c>
      <c r="E98" t="s">
        <v>734</v>
      </c>
      <c r="F98" t="s">
        <v>1060</v>
      </c>
      <c r="G98">
        <v>1091</v>
      </c>
      <c r="H98" t="s">
        <v>194</v>
      </c>
    </row>
    <row r="99" spans="1:8" x14ac:dyDescent="0.45">
      <c r="A99">
        <v>98</v>
      </c>
      <c r="B99" t="s">
        <v>72</v>
      </c>
      <c r="C99" t="s">
        <v>735</v>
      </c>
      <c r="D99">
        <v>-7486.96</v>
      </c>
      <c r="E99" t="s">
        <v>736</v>
      </c>
      <c r="F99" t="s">
        <v>1060</v>
      </c>
      <c r="G99">
        <v>1095</v>
      </c>
      <c r="H99" t="s">
        <v>194</v>
      </c>
    </row>
    <row r="100" spans="1:8" x14ac:dyDescent="0.45">
      <c r="A100">
        <v>99</v>
      </c>
      <c r="B100" t="s">
        <v>72</v>
      </c>
      <c r="C100" t="s">
        <v>737</v>
      </c>
      <c r="D100">
        <v>-52853.59</v>
      </c>
      <c r="E100" t="s">
        <v>738</v>
      </c>
      <c r="F100" t="s">
        <v>1060</v>
      </c>
      <c r="G100">
        <v>1099</v>
      </c>
      <c r="H100" t="s">
        <v>194</v>
      </c>
    </row>
    <row r="101" spans="1:8" x14ac:dyDescent="0.45">
      <c r="A101">
        <v>100</v>
      </c>
      <c r="B101" t="s">
        <v>72</v>
      </c>
      <c r="C101" t="s">
        <v>739</v>
      </c>
      <c r="D101">
        <v>-7174</v>
      </c>
      <c r="E101" t="s">
        <v>740</v>
      </c>
      <c r="F101" t="s">
        <v>1060</v>
      </c>
      <c r="G101">
        <v>1103</v>
      </c>
      <c r="H101" t="s">
        <v>194</v>
      </c>
    </row>
    <row r="102" spans="1:8" x14ac:dyDescent="0.45">
      <c r="A102">
        <v>101</v>
      </c>
      <c r="B102" t="s">
        <v>72</v>
      </c>
      <c r="C102" t="s">
        <v>741</v>
      </c>
      <c r="D102">
        <v>-2546.11</v>
      </c>
      <c r="E102" t="s">
        <v>742</v>
      </c>
      <c r="F102" t="s">
        <v>1060</v>
      </c>
      <c r="G102">
        <v>1105</v>
      </c>
      <c r="H102" t="s">
        <v>194</v>
      </c>
    </row>
    <row r="103" spans="1:8" x14ac:dyDescent="0.45">
      <c r="A103">
        <v>102</v>
      </c>
      <c r="B103" t="s">
        <v>72</v>
      </c>
      <c r="C103" t="s">
        <v>744</v>
      </c>
      <c r="D103">
        <v>-2331</v>
      </c>
      <c r="E103" t="s">
        <v>745</v>
      </c>
      <c r="F103" t="s">
        <v>1060</v>
      </c>
      <c r="G103">
        <v>1110</v>
      </c>
      <c r="H103" t="s">
        <v>194</v>
      </c>
    </row>
    <row r="104" spans="1:8" x14ac:dyDescent="0.45">
      <c r="A104">
        <v>103</v>
      </c>
      <c r="B104" t="s">
        <v>72</v>
      </c>
      <c r="C104" t="s">
        <v>748</v>
      </c>
      <c r="D104">
        <v>-4062.99</v>
      </c>
      <c r="E104" t="s">
        <v>749</v>
      </c>
      <c r="F104" t="s">
        <v>1060</v>
      </c>
      <c r="G104">
        <v>1114</v>
      </c>
      <c r="H104" t="s">
        <v>194</v>
      </c>
    </row>
    <row r="105" spans="1:8" x14ac:dyDescent="0.45">
      <c r="A105">
        <v>104</v>
      </c>
      <c r="B105" t="s">
        <v>72</v>
      </c>
      <c r="C105" t="s">
        <v>773</v>
      </c>
      <c r="D105">
        <v>3546.4</v>
      </c>
      <c r="E105" t="s">
        <v>775</v>
      </c>
      <c r="F105" t="s">
        <v>1060</v>
      </c>
      <c r="G105">
        <v>1177</v>
      </c>
      <c r="H105" t="s">
        <v>194</v>
      </c>
    </row>
    <row r="106" spans="1:8" x14ac:dyDescent="0.45">
      <c r="A106">
        <v>105</v>
      </c>
      <c r="B106" t="s">
        <v>72</v>
      </c>
      <c r="C106" t="s">
        <v>773</v>
      </c>
      <c r="D106">
        <v>3146</v>
      </c>
      <c r="E106" t="s">
        <v>777</v>
      </c>
      <c r="F106" t="s">
        <v>1060</v>
      </c>
      <c r="G106">
        <v>1185</v>
      </c>
      <c r="H106" t="s">
        <v>194</v>
      </c>
    </row>
    <row r="107" spans="1:8" x14ac:dyDescent="0.45">
      <c r="A107">
        <v>106</v>
      </c>
      <c r="B107" t="s">
        <v>72</v>
      </c>
      <c r="C107" t="s">
        <v>780</v>
      </c>
      <c r="D107">
        <v>88909.87</v>
      </c>
      <c r="E107" t="s">
        <v>781</v>
      </c>
      <c r="F107" t="s">
        <v>1060</v>
      </c>
      <c r="G107">
        <v>1191</v>
      </c>
      <c r="H107" t="s">
        <v>195</v>
      </c>
    </row>
    <row r="108" spans="1:8" x14ac:dyDescent="0.45">
      <c r="A108">
        <v>107</v>
      </c>
      <c r="B108" t="s">
        <v>72</v>
      </c>
      <c r="C108" t="s">
        <v>782</v>
      </c>
      <c r="D108">
        <v>-7141.22</v>
      </c>
      <c r="E108" t="s">
        <v>783</v>
      </c>
      <c r="F108" t="s">
        <v>1060</v>
      </c>
      <c r="G108">
        <v>1195</v>
      </c>
      <c r="H108" t="s">
        <v>195</v>
      </c>
    </row>
    <row r="109" spans="1:8" x14ac:dyDescent="0.45">
      <c r="A109">
        <v>108</v>
      </c>
      <c r="B109" t="s">
        <v>72</v>
      </c>
      <c r="C109" t="s">
        <v>784</v>
      </c>
      <c r="D109">
        <v>-53414.47</v>
      </c>
      <c r="E109" t="s">
        <v>785</v>
      </c>
      <c r="F109" t="s">
        <v>1060</v>
      </c>
      <c r="G109">
        <v>1199</v>
      </c>
      <c r="H109" t="s">
        <v>195</v>
      </c>
    </row>
    <row r="110" spans="1:8" x14ac:dyDescent="0.45">
      <c r="A110">
        <v>109</v>
      </c>
      <c r="B110" t="s">
        <v>72</v>
      </c>
      <c r="C110" t="s">
        <v>786</v>
      </c>
      <c r="D110">
        <v>-7208</v>
      </c>
      <c r="E110" t="s">
        <v>787</v>
      </c>
      <c r="F110" t="s">
        <v>1060</v>
      </c>
      <c r="G110">
        <v>1203</v>
      </c>
      <c r="H110" t="s">
        <v>195</v>
      </c>
    </row>
    <row r="111" spans="1:8" x14ac:dyDescent="0.45">
      <c r="A111">
        <v>110</v>
      </c>
      <c r="B111" t="s">
        <v>72</v>
      </c>
      <c r="C111" t="s">
        <v>788</v>
      </c>
      <c r="D111">
        <v>-2403.06</v>
      </c>
      <c r="E111" t="s">
        <v>789</v>
      </c>
      <c r="F111" t="s">
        <v>1060</v>
      </c>
      <c r="G111">
        <v>1205</v>
      </c>
      <c r="H111" t="s">
        <v>195</v>
      </c>
    </row>
    <row r="112" spans="1:8" x14ac:dyDescent="0.45">
      <c r="A112">
        <v>111</v>
      </c>
      <c r="B112" t="s">
        <v>72</v>
      </c>
      <c r="C112" t="s">
        <v>791</v>
      </c>
      <c r="D112">
        <v>-2352</v>
      </c>
      <c r="E112" t="s">
        <v>792</v>
      </c>
      <c r="F112" t="s">
        <v>1060</v>
      </c>
      <c r="G112">
        <v>1210</v>
      </c>
      <c r="H112" t="s">
        <v>195</v>
      </c>
    </row>
    <row r="113" spans="1:8" x14ac:dyDescent="0.45">
      <c r="A113">
        <v>112</v>
      </c>
      <c r="B113" t="s">
        <v>72</v>
      </c>
      <c r="C113" t="s">
        <v>795</v>
      </c>
      <c r="D113">
        <v>-3845.23</v>
      </c>
      <c r="E113" t="s">
        <v>796</v>
      </c>
      <c r="F113" t="s">
        <v>1060</v>
      </c>
      <c r="G113">
        <v>1214</v>
      </c>
      <c r="H113" t="s">
        <v>195</v>
      </c>
    </row>
    <row r="114" spans="1:8" x14ac:dyDescent="0.45">
      <c r="A114">
        <v>113</v>
      </c>
      <c r="B114" t="s">
        <v>72</v>
      </c>
      <c r="C114" t="s">
        <v>819</v>
      </c>
      <c r="D114">
        <v>3578.64</v>
      </c>
      <c r="E114" t="s">
        <v>821</v>
      </c>
      <c r="F114" t="s">
        <v>1060</v>
      </c>
      <c r="G114">
        <v>1277</v>
      </c>
      <c r="H114" t="s">
        <v>195</v>
      </c>
    </row>
    <row r="115" spans="1:8" x14ac:dyDescent="0.45">
      <c r="A115">
        <v>114</v>
      </c>
      <c r="B115" t="s">
        <v>72</v>
      </c>
      <c r="C115" t="s">
        <v>819</v>
      </c>
      <c r="D115">
        <v>3174.6</v>
      </c>
      <c r="E115" t="s">
        <v>823</v>
      </c>
      <c r="F115" t="s">
        <v>1060</v>
      </c>
      <c r="G115">
        <v>1285</v>
      </c>
      <c r="H115" t="s">
        <v>195</v>
      </c>
    </row>
    <row r="116" spans="1:8" x14ac:dyDescent="0.45">
      <c r="A116">
        <v>115</v>
      </c>
      <c r="B116" t="s">
        <v>72</v>
      </c>
      <c r="C116" t="s">
        <v>826</v>
      </c>
      <c r="D116">
        <v>102509.27</v>
      </c>
      <c r="E116" t="s">
        <v>827</v>
      </c>
      <c r="F116" t="s">
        <v>1060</v>
      </c>
      <c r="G116">
        <v>1291</v>
      </c>
      <c r="H116" t="s">
        <v>196</v>
      </c>
    </row>
    <row r="117" spans="1:8" x14ac:dyDescent="0.45">
      <c r="A117">
        <v>116</v>
      </c>
      <c r="B117" t="s">
        <v>72</v>
      </c>
      <c r="C117" t="s">
        <v>828</v>
      </c>
      <c r="D117">
        <v>-8113.38</v>
      </c>
      <c r="E117" t="s">
        <v>829</v>
      </c>
      <c r="F117" t="s">
        <v>1060</v>
      </c>
      <c r="G117">
        <v>1295</v>
      </c>
      <c r="H117" t="s">
        <v>196</v>
      </c>
    </row>
    <row r="118" spans="1:8" x14ac:dyDescent="0.45">
      <c r="A118">
        <v>117</v>
      </c>
      <c r="B118" t="s">
        <v>72</v>
      </c>
      <c r="C118" t="s">
        <v>830</v>
      </c>
      <c r="D118">
        <v>-53975.360000000001</v>
      </c>
      <c r="E118" t="s">
        <v>831</v>
      </c>
      <c r="F118" t="s">
        <v>1060</v>
      </c>
      <c r="G118">
        <v>1299</v>
      </c>
      <c r="H118" t="s">
        <v>196</v>
      </c>
    </row>
    <row r="119" spans="1:8" x14ac:dyDescent="0.45">
      <c r="A119">
        <v>118</v>
      </c>
      <c r="B119" t="s">
        <v>72</v>
      </c>
      <c r="C119" t="s">
        <v>832</v>
      </c>
      <c r="D119">
        <v>-7242</v>
      </c>
      <c r="E119" t="s">
        <v>833</v>
      </c>
      <c r="F119" t="s">
        <v>1060</v>
      </c>
      <c r="G119">
        <v>1303</v>
      </c>
      <c r="H119" t="s">
        <v>196</v>
      </c>
    </row>
    <row r="120" spans="1:8" x14ac:dyDescent="0.45">
      <c r="A120">
        <v>119</v>
      </c>
      <c r="B120" t="s">
        <v>72</v>
      </c>
      <c r="C120" t="s">
        <v>834</v>
      </c>
      <c r="D120">
        <v>-2701.86</v>
      </c>
      <c r="E120" t="s">
        <v>835</v>
      </c>
      <c r="F120" t="s">
        <v>1060</v>
      </c>
      <c r="G120">
        <v>1305</v>
      </c>
      <c r="H120" t="s">
        <v>196</v>
      </c>
    </row>
    <row r="121" spans="1:8" x14ac:dyDescent="0.45">
      <c r="A121">
        <v>120</v>
      </c>
      <c r="B121" t="s">
        <v>72</v>
      </c>
      <c r="C121" t="s">
        <v>837</v>
      </c>
      <c r="D121">
        <v>-2373</v>
      </c>
      <c r="E121" t="s">
        <v>838</v>
      </c>
      <c r="F121" t="s">
        <v>1060</v>
      </c>
      <c r="G121">
        <v>1310</v>
      </c>
      <c r="H121" t="s">
        <v>196</v>
      </c>
    </row>
    <row r="122" spans="1:8" x14ac:dyDescent="0.45">
      <c r="A122">
        <v>121</v>
      </c>
      <c r="B122" t="s">
        <v>72</v>
      </c>
      <c r="C122" t="s">
        <v>840</v>
      </c>
      <c r="D122">
        <v>-3661.28</v>
      </c>
      <c r="E122" t="s">
        <v>841</v>
      </c>
      <c r="F122" t="s">
        <v>1060</v>
      </c>
      <c r="G122">
        <v>1314</v>
      </c>
      <c r="H122" t="s">
        <v>196</v>
      </c>
    </row>
    <row r="123" spans="1:8" x14ac:dyDescent="0.45">
      <c r="A123">
        <v>122</v>
      </c>
      <c r="B123" t="s">
        <v>72</v>
      </c>
      <c r="C123" t="s">
        <v>865</v>
      </c>
      <c r="D123">
        <v>3610.88</v>
      </c>
      <c r="E123" t="s">
        <v>867</v>
      </c>
      <c r="F123" t="s">
        <v>1060</v>
      </c>
      <c r="G123">
        <v>1377</v>
      </c>
      <c r="H123" t="s">
        <v>196</v>
      </c>
    </row>
    <row r="124" spans="1:8" x14ac:dyDescent="0.45">
      <c r="A124">
        <v>123</v>
      </c>
      <c r="B124" t="s">
        <v>72</v>
      </c>
      <c r="C124" t="s">
        <v>865</v>
      </c>
      <c r="D124">
        <v>3203.2</v>
      </c>
      <c r="E124" t="s">
        <v>869</v>
      </c>
      <c r="F124" t="s">
        <v>1060</v>
      </c>
      <c r="G124">
        <v>1385</v>
      </c>
      <c r="H124" t="s">
        <v>196</v>
      </c>
    </row>
    <row r="125" spans="1:8" x14ac:dyDescent="0.45">
      <c r="A125">
        <v>124</v>
      </c>
      <c r="B125" t="s">
        <v>72</v>
      </c>
      <c r="C125" t="s">
        <v>872</v>
      </c>
      <c r="D125">
        <v>86060.59</v>
      </c>
      <c r="E125" t="s">
        <v>873</v>
      </c>
      <c r="F125" t="s">
        <v>1060</v>
      </c>
      <c r="G125">
        <v>1391</v>
      </c>
      <c r="H125" t="s">
        <v>197</v>
      </c>
    </row>
    <row r="126" spans="1:8" x14ac:dyDescent="0.45">
      <c r="A126">
        <v>125</v>
      </c>
      <c r="B126" t="s">
        <v>72</v>
      </c>
      <c r="C126" t="s">
        <v>874</v>
      </c>
      <c r="D126">
        <v>-7036.79</v>
      </c>
      <c r="E126" t="s">
        <v>875</v>
      </c>
      <c r="F126" t="s">
        <v>1060</v>
      </c>
      <c r="G126">
        <v>1395</v>
      </c>
      <c r="H126" t="s">
        <v>197</v>
      </c>
    </row>
    <row r="127" spans="1:8" x14ac:dyDescent="0.45">
      <c r="A127">
        <v>126</v>
      </c>
      <c r="B127" t="s">
        <v>72</v>
      </c>
      <c r="C127" t="s">
        <v>876</v>
      </c>
      <c r="D127">
        <v>-54536.23</v>
      </c>
      <c r="E127" t="s">
        <v>877</v>
      </c>
      <c r="F127" t="s">
        <v>1060</v>
      </c>
      <c r="G127">
        <v>1399</v>
      </c>
      <c r="H127" t="s">
        <v>197</v>
      </c>
    </row>
    <row r="128" spans="1:8" x14ac:dyDescent="0.45">
      <c r="A128">
        <v>127</v>
      </c>
      <c r="B128" t="s">
        <v>72</v>
      </c>
      <c r="C128" t="s">
        <v>878</v>
      </c>
      <c r="D128">
        <v>-7276</v>
      </c>
      <c r="E128" t="s">
        <v>879</v>
      </c>
      <c r="F128" t="s">
        <v>1060</v>
      </c>
      <c r="G128">
        <v>1403</v>
      </c>
      <c r="H128" t="s">
        <v>197</v>
      </c>
    </row>
    <row r="129" spans="1:8" x14ac:dyDescent="0.45">
      <c r="A129">
        <v>128</v>
      </c>
      <c r="B129" t="s">
        <v>72</v>
      </c>
      <c r="C129" t="s">
        <v>880</v>
      </c>
      <c r="D129">
        <v>-2319.2600000000002</v>
      </c>
      <c r="E129" t="s">
        <v>881</v>
      </c>
      <c r="F129" t="s">
        <v>1060</v>
      </c>
      <c r="G129">
        <v>1405</v>
      </c>
      <c r="H129" t="s">
        <v>197</v>
      </c>
    </row>
    <row r="130" spans="1:8" x14ac:dyDescent="0.45">
      <c r="A130">
        <v>129</v>
      </c>
      <c r="B130" t="s">
        <v>72</v>
      </c>
      <c r="C130" t="s">
        <v>883</v>
      </c>
      <c r="D130">
        <v>-2394</v>
      </c>
      <c r="E130" t="s">
        <v>884</v>
      </c>
      <c r="F130" t="s">
        <v>1060</v>
      </c>
      <c r="G130">
        <v>1410</v>
      </c>
      <c r="H130" t="s">
        <v>197</v>
      </c>
    </row>
    <row r="131" spans="1:8" x14ac:dyDescent="0.45">
      <c r="A131">
        <v>130</v>
      </c>
      <c r="B131" t="s">
        <v>72</v>
      </c>
      <c r="C131" t="s">
        <v>887</v>
      </c>
      <c r="D131">
        <v>-4152.62</v>
      </c>
      <c r="E131" t="s">
        <v>888</v>
      </c>
      <c r="F131" t="s">
        <v>1060</v>
      </c>
      <c r="G131">
        <v>1414</v>
      </c>
      <c r="H131" t="s">
        <v>197</v>
      </c>
    </row>
    <row r="132" spans="1:8" x14ac:dyDescent="0.45">
      <c r="A132">
        <v>131</v>
      </c>
      <c r="B132" t="s">
        <v>72</v>
      </c>
      <c r="C132" t="s">
        <v>912</v>
      </c>
      <c r="D132">
        <v>3643.12</v>
      </c>
      <c r="E132" t="s">
        <v>914</v>
      </c>
      <c r="F132" t="s">
        <v>1060</v>
      </c>
      <c r="G132">
        <v>1477</v>
      </c>
      <c r="H132" t="s">
        <v>197</v>
      </c>
    </row>
    <row r="133" spans="1:8" x14ac:dyDescent="0.45">
      <c r="A133">
        <v>132</v>
      </c>
      <c r="B133" t="s">
        <v>72</v>
      </c>
      <c r="C133" t="s">
        <v>912</v>
      </c>
      <c r="D133">
        <v>3231.8</v>
      </c>
      <c r="E133" t="s">
        <v>916</v>
      </c>
      <c r="F133" t="s">
        <v>1060</v>
      </c>
      <c r="G133">
        <v>1485</v>
      </c>
      <c r="H133" t="s">
        <v>197</v>
      </c>
    </row>
    <row r="134" spans="1:8" x14ac:dyDescent="0.45">
      <c r="A134">
        <v>133</v>
      </c>
      <c r="B134" t="s">
        <v>72</v>
      </c>
      <c r="C134" t="s">
        <v>919</v>
      </c>
      <c r="D134">
        <v>106125.64</v>
      </c>
      <c r="E134" t="s">
        <v>920</v>
      </c>
      <c r="F134" t="s">
        <v>1060</v>
      </c>
      <c r="G134">
        <v>1491</v>
      </c>
      <c r="H134" t="s">
        <v>198</v>
      </c>
    </row>
    <row r="135" spans="1:8" x14ac:dyDescent="0.45">
      <c r="A135">
        <v>134</v>
      </c>
      <c r="B135" t="s">
        <v>72</v>
      </c>
      <c r="C135" t="s">
        <v>921</v>
      </c>
      <c r="D135">
        <v>-8476.69</v>
      </c>
      <c r="E135" t="s">
        <v>922</v>
      </c>
      <c r="F135" t="s">
        <v>1060</v>
      </c>
      <c r="G135">
        <v>1495</v>
      </c>
      <c r="H135" t="s">
        <v>198</v>
      </c>
    </row>
    <row r="136" spans="1:8" x14ac:dyDescent="0.45">
      <c r="A136">
        <v>135</v>
      </c>
      <c r="B136" t="s">
        <v>72</v>
      </c>
      <c r="C136" t="s">
        <v>923</v>
      </c>
      <c r="D136">
        <v>-55097.11</v>
      </c>
      <c r="E136" t="s">
        <v>924</v>
      </c>
      <c r="F136" t="s">
        <v>1060</v>
      </c>
      <c r="G136">
        <v>1499</v>
      </c>
      <c r="H136" t="s">
        <v>198</v>
      </c>
    </row>
    <row r="137" spans="1:8" x14ac:dyDescent="0.45">
      <c r="A137">
        <v>136</v>
      </c>
      <c r="B137" t="s">
        <v>72</v>
      </c>
      <c r="C137" t="s">
        <v>925</v>
      </c>
      <c r="D137">
        <v>-7310</v>
      </c>
      <c r="E137" t="s">
        <v>926</v>
      </c>
      <c r="F137" t="s">
        <v>1060</v>
      </c>
      <c r="G137">
        <v>1503</v>
      </c>
      <c r="H137" t="s">
        <v>198</v>
      </c>
    </row>
    <row r="138" spans="1:8" x14ac:dyDescent="0.45">
      <c r="A138">
        <v>137</v>
      </c>
      <c r="B138" t="s">
        <v>72</v>
      </c>
      <c r="C138" t="s">
        <v>927</v>
      </c>
      <c r="D138">
        <v>-2765.43</v>
      </c>
      <c r="E138" t="s">
        <v>928</v>
      </c>
      <c r="F138" t="s">
        <v>1060</v>
      </c>
      <c r="G138">
        <v>1505</v>
      </c>
      <c r="H138" t="s">
        <v>198</v>
      </c>
    </row>
    <row r="139" spans="1:8" x14ac:dyDescent="0.45">
      <c r="A139">
        <v>138</v>
      </c>
      <c r="B139" t="s">
        <v>72</v>
      </c>
      <c r="C139" t="s">
        <v>930</v>
      </c>
      <c r="D139">
        <v>-2415</v>
      </c>
      <c r="E139" t="s">
        <v>931</v>
      </c>
      <c r="F139" t="s">
        <v>1060</v>
      </c>
      <c r="G139">
        <v>1510</v>
      </c>
      <c r="H139" t="s">
        <v>198</v>
      </c>
    </row>
    <row r="140" spans="1:8" x14ac:dyDescent="0.45">
      <c r="A140">
        <v>139</v>
      </c>
      <c r="B140" t="s">
        <v>72</v>
      </c>
      <c r="C140" t="s">
        <v>934</v>
      </c>
      <c r="D140">
        <v>-3595.59</v>
      </c>
      <c r="E140" t="s">
        <v>935</v>
      </c>
      <c r="F140" t="s">
        <v>1060</v>
      </c>
      <c r="G140">
        <v>1514</v>
      </c>
      <c r="H140" t="s">
        <v>198</v>
      </c>
    </row>
    <row r="141" spans="1:8" x14ac:dyDescent="0.45">
      <c r="A141">
        <v>140</v>
      </c>
      <c r="B141" t="s">
        <v>72</v>
      </c>
      <c r="C141" t="s">
        <v>959</v>
      </c>
      <c r="D141">
        <v>3675.36</v>
      </c>
      <c r="E141" t="s">
        <v>961</v>
      </c>
      <c r="F141" t="s">
        <v>1060</v>
      </c>
      <c r="G141">
        <v>1577</v>
      </c>
      <c r="H141" t="s">
        <v>198</v>
      </c>
    </row>
    <row r="142" spans="1:8" x14ac:dyDescent="0.45">
      <c r="A142">
        <v>141</v>
      </c>
      <c r="B142" t="s">
        <v>72</v>
      </c>
      <c r="C142" t="s">
        <v>959</v>
      </c>
      <c r="D142">
        <v>3260.4</v>
      </c>
      <c r="E142" t="s">
        <v>963</v>
      </c>
      <c r="F142" t="s">
        <v>1060</v>
      </c>
      <c r="G142">
        <v>1585</v>
      </c>
      <c r="H142" t="s">
        <v>198</v>
      </c>
    </row>
    <row r="143" spans="1:8" x14ac:dyDescent="0.45">
      <c r="A143">
        <v>142</v>
      </c>
      <c r="B143" t="s">
        <v>72</v>
      </c>
      <c r="C143" t="s">
        <v>966</v>
      </c>
      <c r="D143">
        <v>100677.8</v>
      </c>
      <c r="E143" t="s">
        <v>967</v>
      </c>
      <c r="F143" t="s">
        <v>1060</v>
      </c>
      <c r="G143">
        <v>1591</v>
      </c>
      <c r="H143" t="s">
        <v>199</v>
      </c>
    </row>
    <row r="144" spans="1:8" x14ac:dyDescent="0.45">
      <c r="A144">
        <v>143</v>
      </c>
      <c r="B144" t="s">
        <v>72</v>
      </c>
      <c r="C144" t="s">
        <v>968</v>
      </c>
      <c r="D144">
        <v>-8072.64</v>
      </c>
      <c r="E144" t="s">
        <v>969</v>
      </c>
      <c r="F144" t="s">
        <v>1060</v>
      </c>
      <c r="G144">
        <v>1595</v>
      </c>
      <c r="H144" t="s">
        <v>199</v>
      </c>
    </row>
    <row r="145" spans="1:8" x14ac:dyDescent="0.45">
      <c r="A145">
        <v>144</v>
      </c>
      <c r="B145" t="s">
        <v>72</v>
      </c>
      <c r="C145" t="s">
        <v>970</v>
      </c>
      <c r="D145">
        <v>-55657.99</v>
      </c>
      <c r="E145" t="s">
        <v>971</v>
      </c>
      <c r="F145" t="s">
        <v>1060</v>
      </c>
      <c r="G145">
        <v>1599</v>
      </c>
      <c r="H145" t="s">
        <v>199</v>
      </c>
    </row>
    <row r="146" spans="1:8" x14ac:dyDescent="0.45">
      <c r="A146">
        <v>145</v>
      </c>
      <c r="B146" t="s">
        <v>72</v>
      </c>
      <c r="C146" t="s">
        <v>972</v>
      </c>
      <c r="D146">
        <v>-7344</v>
      </c>
      <c r="E146" t="s">
        <v>973</v>
      </c>
      <c r="F146" t="s">
        <v>1060</v>
      </c>
      <c r="G146">
        <v>1603</v>
      </c>
      <c r="H146" t="s">
        <v>199</v>
      </c>
    </row>
    <row r="147" spans="1:8" x14ac:dyDescent="0.45">
      <c r="A147">
        <v>146</v>
      </c>
      <c r="B147" t="s">
        <v>72</v>
      </c>
      <c r="C147" t="s">
        <v>974</v>
      </c>
      <c r="D147">
        <v>-2607.1</v>
      </c>
      <c r="E147" t="s">
        <v>975</v>
      </c>
      <c r="F147" t="s">
        <v>1060</v>
      </c>
      <c r="G147">
        <v>1605</v>
      </c>
      <c r="H147" t="s">
        <v>199</v>
      </c>
    </row>
    <row r="148" spans="1:8" x14ac:dyDescent="0.45">
      <c r="A148">
        <v>147</v>
      </c>
      <c r="B148" t="s">
        <v>72</v>
      </c>
      <c r="C148" t="s">
        <v>977</v>
      </c>
      <c r="D148">
        <v>-2436</v>
      </c>
      <c r="E148" t="s">
        <v>978</v>
      </c>
      <c r="F148" t="s">
        <v>1060</v>
      </c>
      <c r="G148">
        <v>1610</v>
      </c>
      <c r="H148" t="s">
        <v>199</v>
      </c>
    </row>
    <row r="149" spans="1:8" x14ac:dyDescent="0.45">
      <c r="A149">
        <v>148</v>
      </c>
      <c r="B149" t="s">
        <v>72</v>
      </c>
      <c r="C149" t="s">
        <v>981</v>
      </c>
      <c r="D149">
        <v>-4324.2299999999996</v>
      </c>
      <c r="E149" t="s">
        <v>982</v>
      </c>
      <c r="F149" t="s">
        <v>1060</v>
      </c>
      <c r="G149">
        <v>1614</v>
      </c>
      <c r="H149" t="s">
        <v>199</v>
      </c>
    </row>
    <row r="150" spans="1:8" x14ac:dyDescent="0.45">
      <c r="A150">
        <v>149</v>
      </c>
      <c r="B150" t="s">
        <v>72</v>
      </c>
      <c r="C150" t="s">
        <v>966</v>
      </c>
      <c r="D150">
        <v>3707.6</v>
      </c>
      <c r="E150" t="s">
        <v>1007</v>
      </c>
      <c r="F150" t="s">
        <v>1060</v>
      </c>
      <c r="G150">
        <v>1677</v>
      </c>
      <c r="H150" t="s">
        <v>199</v>
      </c>
    </row>
    <row r="151" spans="1:8" x14ac:dyDescent="0.45">
      <c r="A151">
        <v>150</v>
      </c>
      <c r="B151" t="s">
        <v>72</v>
      </c>
      <c r="C151" t="s">
        <v>966</v>
      </c>
      <c r="D151">
        <v>3289</v>
      </c>
      <c r="E151" t="s">
        <v>1009</v>
      </c>
      <c r="F151" t="s">
        <v>1060</v>
      </c>
      <c r="G151">
        <v>1685</v>
      </c>
      <c r="H151" t="s">
        <v>199</v>
      </c>
    </row>
    <row r="152" spans="1:8" x14ac:dyDescent="0.45">
      <c r="A152">
        <v>151</v>
      </c>
      <c r="B152" t="s">
        <v>72</v>
      </c>
      <c r="C152" t="s">
        <v>1012</v>
      </c>
      <c r="D152">
        <v>106994.29</v>
      </c>
      <c r="E152" t="s">
        <v>1013</v>
      </c>
      <c r="F152" t="s">
        <v>1060</v>
      </c>
      <c r="G152">
        <v>1691</v>
      </c>
      <c r="H152" t="s">
        <v>200</v>
      </c>
    </row>
    <row r="153" spans="1:8" x14ac:dyDescent="0.45">
      <c r="A153">
        <v>152</v>
      </c>
      <c r="B153" t="s">
        <v>72</v>
      </c>
      <c r="C153" t="s">
        <v>1014</v>
      </c>
      <c r="D153">
        <v>-8230.32</v>
      </c>
      <c r="E153" t="s">
        <v>1015</v>
      </c>
      <c r="F153" t="s">
        <v>1060</v>
      </c>
      <c r="G153">
        <v>1695</v>
      </c>
      <c r="H153" t="s">
        <v>200</v>
      </c>
    </row>
    <row r="154" spans="1:8" x14ac:dyDescent="0.45">
      <c r="A154">
        <v>153</v>
      </c>
      <c r="B154" t="s">
        <v>72</v>
      </c>
      <c r="C154" t="s">
        <v>1016</v>
      </c>
      <c r="D154">
        <v>-56218.87</v>
      </c>
      <c r="E154" t="s">
        <v>1017</v>
      </c>
      <c r="F154" t="s">
        <v>1060</v>
      </c>
      <c r="G154">
        <v>1699</v>
      </c>
      <c r="H154" t="s">
        <v>200</v>
      </c>
    </row>
    <row r="155" spans="1:8" x14ac:dyDescent="0.45">
      <c r="A155">
        <v>154</v>
      </c>
      <c r="B155" t="s">
        <v>72</v>
      </c>
      <c r="C155" t="s">
        <v>1018</v>
      </c>
      <c r="D155">
        <v>-7378</v>
      </c>
      <c r="E155" t="s">
        <v>1019</v>
      </c>
      <c r="F155" t="s">
        <v>1060</v>
      </c>
      <c r="G155">
        <v>1703</v>
      </c>
      <c r="H155" t="s">
        <v>200</v>
      </c>
    </row>
    <row r="156" spans="1:8" x14ac:dyDescent="0.45">
      <c r="A156">
        <v>155</v>
      </c>
      <c r="B156" t="s">
        <v>72</v>
      </c>
      <c r="C156" t="s">
        <v>1023</v>
      </c>
      <c r="D156">
        <v>-2457</v>
      </c>
      <c r="E156" t="s">
        <v>1024</v>
      </c>
      <c r="F156" t="s">
        <v>1060</v>
      </c>
      <c r="G156">
        <v>1710</v>
      </c>
      <c r="H156" t="s">
        <v>200</v>
      </c>
    </row>
    <row r="157" spans="1:8" x14ac:dyDescent="0.45">
      <c r="A157">
        <v>156</v>
      </c>
      <c r="B157" t="s">
        <v>72</v>
      </c>
      <c r="C157" t="s">
        <v>1026</v>
      </c>
      <c r="D157">
        <v>-4111.47</v>
      </c>
      <c r="E157" t="s">
        <v>1027</v>
      </c>
      <c r="F157" t="s">
        <v>1060</v>
      </c>
      <c r="G157">
        <v>1714</v>
      </c>
      <c r="H157" t="s">
        <v>200</v>
      </c>
    </row>
    <row r="158" spans="1:8" x14ac:dyDescent="0.45">
      <c r="A158">
        <v>157</v>
      </c>
      <c r="B158" t="s">
        <v>72</v>
      </c>
      <c r="C158" t="s">
        <v>1051</v>
      </c>
      <c r="D158">
        <v>3739.84</v>
      </c>
      <c r="E158" t="s">
        <v>1053</v>
      </c>
      <c r="F158" t="s">
        <v>1060</v>
      </c>
      <c r="G158">
        <v>1777</v>
      </c>
      <c r="H158" t="s">
        <v>200</v>
      </c>
    </row>
    <row r="159" spans="1:8" x14ac:dyDescent="0.45">
      <c r="A159">
        <v>158</v>
      </c>
      <c r="B159" t="s">
        <v>72</v>
      </c>
      <c r="C159" t="s">
        <v>1051</v>
      </c>
      <c r="D159">
        <v>3317.6</v>
      </c>
      <c r="E159" t="s">
        <v>1055</v>
      </c>
      <c r="F159" t="s">
        <v>1060</v>
      </c>
      <c r="G159">
        <v>1785</v>
      </c>
      <c r="H159" t="s">
        <v>200</v>
      </c>
    </row>
    <row r="160" spans="1:8" x14ac:dyDescent="0.45">
      <c r="A160">
        <v>159</v>
      </c>
      <c r="B160" t="s">
        <v>73</v>
      </c>
      <c r="C160" t="s">
        <v>221</v>
      </c>
      <c r="D160">
        <v>46379.91</v>
      </c>
      <c r="E160" t="s">
        <v>243</v>
      </c>
      <c r="F160" t="s">
        <v>1060</v>
      </c>
      <c r="G160">
        <v>31</v>
      </c>
      <c r="H160" t="s">
        <v>183</v>
      </c>
    </row>
    <row r="161" spans="1:8" x14ac:dyDescent="0.45">
      <c r="A161">
        <v>160</v>
      </c>
      <c r="B161" t="s">
        <v>73</v>
      </c>
      <c r="C161" t="s">
        <v>224</v>
      </c>
      <c r="D161">
        <v>-3734.77</v>
      </c>
      <c r="E161" t="s">
        <v>244</v>
      </c>
      <c r="F161" t="s">
        <v>1060</v>
      </c>
      <c r="G161">
        <v>35</v>
      </c>
      <c r="H161" t="s">
        <v>183</v>
      </c>
    </row>
    <row r="162" spans="1:8" x14ac:dyDescent="0.45">
      <c r="A162">
        <v>161</v>
      </c>
      <c r="B162" t="s">
        <v>73</v>
      </c>
      <c r="C162" t="s">
        <v>227</v>
      </c>
      <c r="D162">
        <v>-26080.92</v>
      </c>
      <c r="E162" t="s">
        <v>245</v>
      </c>
      <c r="F162" t="s">
        <v>1060</v>
      </c>
      <c r="G162">
        <v>39</v>
      </c>
      <c r="H162" t="s">
        <v>183</v>
      </c>
    </row>
    <row r="163" spans="1:8" x14ac:dyDescent="0.45">
      <c r="A163">
        <v>162</v>
      </c>
      <c r="B163" t="s">
        <v>73</v>
      </c>
      <c r="C163" t="s">
        <v>230</v>
      </c>
      <c r="D163">
        <v>-4216</v>
      </c>
      <c r="E163" t="s">
        <v>246</v>
      </c>
      <c r="F163" t="s">
        <v>1060</v>
      </c>
      <c r="G163">
        <v>43</v>
      </c>
      <c r="H163" t="s">
        <v>183</v>
      </c>
    </row>
    <row r="164" spans="1:8" x14ac:dyDescent="0.45">
      <c r="A164">
        <v>163</v>
      </c>
      <c r="B164" t="s">
        <v>73</v>
      </c>
      <c r="C164" t="s">
        <v>233</v>
      </c>
      <c r="D164">
        <v>-1437.74</v>
      </c>
      <c r="E164" t="s">
        <v>247</v>
      </c>
      <c r="F164" t="s">
        <v>1060</v>
      </c>
      <c r="G164">
        <v>45</v>
      </c>
      <c r="H164" t="s">
        <v>183</v>
      </c>
    </row>
    <row r="165" spans="1:8" x14ac:dyDescent="0.45">
      <c r="A165">
        <v>164</v>
      </c>
      <c r="B165" t="s">
        <v>73</v>
      </c>
      <c r="C165" t="s">
        <v>237</v>
      </c>
      <c r="D165">
        <v>-1302</v>
      </c>
      <c r="E165" t="s">
        <v>249</v>
      </c>
      <c r="F165" t="s">
        <v>1060</v>
      </c>
      <c r="G165">
        <v>50</v>
      </c>
      <c r="H165" t="s">
        <v>183</v>
      </c>
    </row>
    <row r="166" spans="1:8" x14ac:dyDescent="0.45">
      <c r="A166">
        <v>165</v>
      </c>
      <c r="B166" t="s">
        <v>73</v>
      </c>
      <c r="C166" t="s">
        <v>268</v>
      </c>
      <c r="D166">
        <v>54103.87</v>
      </c>
      <c r="E166" t="s">
        <v>286</v>
      </c>
      <c r="F166" t="s">
        <v>1060</v>
      </c>
      <c r="G166">
        <v>119</v>
      </c>
      <c r="H166" t="s">
        <v>184</v>
      </c>
    </row>
    <row r="167" spans="1:8" x14ac:dyDescent="0.45">
      <c r="A167">
        <v>166</v>
      </c>
      <c r="B167" t="s">
        <v>73</v>
      </c>
      <c r="C167" t="s">
        <v>270</v>
      </c>
      <c r="D167">
        <v>-4338.75</v>
      </c>
      <c r="E167" t="s">
        <v>287</v>
      </c>
      <c r="F167" t="s">
        <v>1060</v>
      </c>
      <c r="G167">
        <v>123</v>
      </c>
      <c r="H167" t="s">
        <v>184</v>
      </c>
    </row>
    <row r="168" spans="1:8" x14ac:dyDescent="0.45">
      <c r="A168">
        <v>167</v>
      </c>
      <c r="B168" t="s">
        <v>73</v>
      </c>
      <c r="C168" t="s">
        <v>272</v>
      </c>
      <c r="D168">
        <v>-29291.78</v>
      </c>
      <c r="E168" t="s">
        <v>288</v>
      </c>
      <c r="F168" t="s">
        <v>1060</v>
      </c>
      <c r="G168">
        <v>127</v>
      </c>
      <c r="H168" t="s">
        <v>184</v>
      </c>
    </row>
    <row r="169" spans="1:8" x14ac:dyDescent="0.45">
      <c r="A169">
        <v>168</v>
      </c>
      <c r="B169" t="s">
        <v>73</v>
      </c>
      <c r="C169" t="s">
        <v>274</v>
      </c>
      <c r="D169">
        <v>-4237.08</v>
      </c>
      <c r="E169" t="s">
        <v>289</v>
      </c>
      <c r="F169" t="s">
        <v>1060</v>
      </c>
      <c r="G169">
        <v>131</v>
      </c>
      <c r="H169" t="s">
        <v>184</v>
      </c>
    </row>
    <row r="170" spans="1:8" x14ac:dyDescent="0.45">
      <c r="A170">
        <v>169</v>
      </c>
      <c r="B170" t="s">
        <v>73</v>
      </c>
      <c r="C170" t="s">
        <v>276</v>
      </c>
      <c r="D170">
        <v>-1650.45</v>
      </c>
      <c r="E170" t="s">
        <v>290</v>
      </c>
      <c r="F170" t="s">
        <v>1060</v>
      </c>
      <c r="G170">
        <v>133</v>
      </c>
      <c r="H170" t="s">
        <v>184</v>
      </c>
    </row>
    <row r="171" spans="1:8" x14ac:dyDescent="0.45">
      <c r="A171">
        <v>170</v>
      </c>
      <c r="B171" t="s">
        <v>73</v>
      </c>
      <c r="C171" t="s">
        <v>279</v>
      </c>
      <c r="D171">
        <v>-1315.02</v>
      </c>
      <c r="E171" t="s">
        <v>292</v>
      </c>
      <c r="F171" t="s">
        <v>1060</v>
      </c>
      <c r="G171">
        <v>138</v>
      </c>
      <c r="H171" t="s">
        <v>184</v>
      </c>
    </row>
    <row r="172" spans="1:8" x14ac:dyDescent="0.45">
      <c r="A172">
        <v>171</v>
      </c>
      <c r="B172" t="s">
        <v>73</v>
      </c>
      <c r="C172" t="s">
        <v>283</v>
      </c>
      <c r="D172">
        <v>-1960.06</v>
      </c>
      <c r="E172" t="s">
        <v>294</v>
      </c>
      <c r="F172" t="s">
        <v>1060</v>
      </c>
      <c r="G172">
        <v>142</v>
      </c>
      <c r="H172" t="s">
        <v>184</v>
      </c>
    </row>
    <row r="173" spans="1:8" x14ac:dyDescent="0.45">
      <c r="A173">
        <v>172</v>
      </c>
      <c r="B173" t="s">
        <v>73</v>
      </c>
      <c r="C173" t="s">
        <v>268</v>
      </c>
      <c r="D173">
        <v>-3224</v>
      </c>
      <c r="E173" t="s">
        <v>308</v>
      </c>
      <c r="F173" t="s">
        <v>1060</v>
      </c>
      <c r="G173">
        <v>176</v>
      </c>
      <c r="H173" t="s">
        <v>184</v>
      </c>
    </row>
    <row r="174" spans="1:8" x14ac:dyDescent="0.45">
      <c r="A174">
        <v>173</v>
      </c>
      <c r="B174" t="s">
        <v>73</v>
      </c>
      <c r="C174" t="s">
        <v>315</v>
      </c>
      <c r="D174">
        <v>51195.95</v>
      </c>
      <c r="E174" t="s">
        <v>333</v>
      </c>
      <c r="F174" t="s">
        <v>1060</v>
      </c>
      <c r="G174">
        <v>219</v>
      </c>
      <c r="H174" t="s">
        <v>185</v>
      </c>
    </row>
    <row r="175" spans="1:8" x14ac:dyDescent="0.45">
      <c r="A175">
        <v>174</v>
      </c>
      <c r="B175" t="s">
        <v>73</v>
      </c>
      <c r="C175" t="s">
        <v>317</v>
      </c>
      <c r="D175">
        <v>-4170.7299999999996</v>
      </c>
      <c r="E175" t="s">
        <v>334</v>
      </c>
      <c r="F175" t="s">
        <v>1060</v>
      </c>
      <c r="G175">
        <v>223</v>
      </c>
      <c r="H175" t="s">
        <v>185</v>
      </c>
    </row>
    <row r="176" spans="1:8" x14ac:dyDescent="0.45">
      <c r="A176">
        <v>175</v>
      </c>
      <c r="B176" t="s">
        <v>73</v>
      </c>
      <c r="C176" t="s">
        <v>319</v>
      </c>
      <c r="D176">
        <v>-29639.51</v>
      </c>
      <c r="E176" t="s">
        <v>335</v>
      </c>
      <c r="F176" t="s">
        <v>1060</v>
      </c>
      <c r="G176">
        <v>227</v>
      </c>
      <c r="H176" t="s">
        <v>185</v>
      </c>
    </row>
    <row r="177" spans="1:8" x14ac:dyDescent="0.45">
      <c r="A177">
        <v>176</v>
      </c>
      <c r="B177" t="s">
        <v>73</v>
      </c>
      <c r="C177" t="s">
        <v>321</v>
      </c>
      <c r="D177">
        <v>-4258.16</v>
      </c>
      <c r="E177" t="s">
        <v>336</v>
      </c>
      <c r="F177" t="s">
        <v>1060</v>
      </c>
      <c r="G177">
        <v>231</v>
      </c>
      <c r="H177" t="s">
        <v>185</v>
      </c>
    </row>
    <row r="178" spans="1:8" x14ac:dyDescent="0.45">
      <c r="A178">
        <v>177</v>
      </c>
      <c r="B178" t="s">
        <v>73</v>
      </c>
      <c r="C178" t="s">
        <v>323</v>
      </c>
      <c r="D178">
        <v>-1567.94</v>
      </c>
      <c r="E178" t="s">
        <v>337</v>
      </c>
      <c r="F178" t="s">
        <v>1060</v>
      </c>
      <c r="G178">
        <v>233</v>
      </c>
      <c r="H178" t="s">
        <v>185</v>
      </c>
    </row>
    <row r="179" spans="1:8" x14ac:dyDescent="0.45">
      <c r="A179">
        <v>178</v>
      </c>
      <c r="B179" t="s">
        <v>73</v>
      </c>
      <c r="C179" t="s">
        <v>326</v>
      </c>
      <c r="D179">
        <v>-1328.04</v>
      </c>
      <c r="E179" t="s">
        <v>339</v>
      </c>
      <c r="F179" t="s">
        <v>1060</v>
      </c>
      <c r="G179">
        <v>238</v>
      </c>
      <c r="H179" t="s">
        <v>185</v>
      </c>
    </row>
    <row r="180" spans="1:8" x14ac:dyDescent="0.45">
      <c r="A180">
        <v>179</v>
      </c>
      <c r="B180" t="s">
        <v>73</v>
      </c>
      <c r="C180" t="s">
        <v>330</v>
      </c>
      <c r="D180">
        <v>-2272.08</v>
      </c>
      <c r="E180" t="s">
        <v>341</v>
      </c>
      <c r="F180" t="s">
        <v>1060</v>
      </c>
      <c r="G180">
        <v>242</v>
      </c>
      <c r="H180" t="s">
        <v>185</v>
      </c>
    </row>
    <row r="181" spans="1:8" x14ac:dyDescent="0.45">
      <c r="A181">
        <v>180</v>
      </c>
      <c r="B181" t="s">
        <v>73</v>
      </c>
      <c r="C181" t="s">
        <v>315</v>
      </c>
      <c r="D181">
        <v>-3256.24</v>
      </c>
      <c r="E181" t="s">
        <v>355</v>
      </c>
      <c r="F181" t="s">
        <v>1060</v>
      </c>
      <c r="G181">
        <v>276</v>
      </c>
      <c r="H181" t="s">
        <v>185</v>
      </c>
    </row>
    <row r="182" spans="1:8" x14ac:dyDescent="0.45">
      <c r="A182">
        <v>181</v>
      </c>
      <c r="B182" t="s">
        <v>73</v>
      </c>
      <c r="C182" t="s">
        <v>361</v>
      </c>
      <c r="D182">
        <v>55528.39</v>
      </c>
      <c r="E182" t="s">
        <v>379</v>
      </c>
      <c r="F182" t="s">
        <v>1060</v>
      </c>
      <c r="G182">
        <v>319</v>
      </c>
      <c r="H182" t="s">
        <v>186</v>
      </c>
    </row>
    <row r="183" spans="1:8" x14ac:dyDescent="0.45">
      <c r="A183">
        <v>182</v>
      </c>
      <c r="B183" t="s">
        <v>73</v>
      </c>
      <c r="C183" t="s">
        <v>363</v>
      </c>
      <c r="D183">
        <v>-4560.83</v>
      </c>
      <c r="E183" t="s">
        <v>380</v>
      </c>
      <c r="F183" t="s">
        <v>1060</v>
      </c>
      <c r="G183">
        <v>323</v>
      </c>
      <c r="H183" t="s">
        <v>186</v>
      </c>
    </row>
    <row r="184" spans="1:8" x14ac:dyDescent="0.45">
      <c r="A184">
        <v>183</v>
      </c>
      <c r="B184" t="s">
        <v>73</v>
      </c>
      <c r="C184" t="s">
        <v>365</v>
      </c>
      <c r="D184">
        <v>-29987.27</v>
      </c>
      <c r="E184" t="s">
        <v>381</v>
      </c>
      <c r="F184" t="s">
        <v>1060</v>
      </c>
      <c r="G184">
        <v>327</v>
      </c>
      <c r="H184" t="s">
        <v>186</v>
      </c>
    </row>
    <row r="185" spans="1:8" x14ac:dyDescent="0.45">
      <c r="A185">
        <v>184</v>
      </c>
      <c r="B185" t="s">
        <v>73</v>
      </c>
      <c r="C185" t="s">
        <v>367</v>
      </c>
      <c r="D185">
        <v>-4279.24</v>
      </c>
      <c r="E185" t="s">
        <v>382</v>
      </c>
      <c r="F185" t="s">
        <v>1060</v>
      </c>
      <c r="G185">
        <v>331</v>
      </c>
      <c r="H185" t="s">
        <v>186</v>
      </c>
    </row>
    <row r="186" spans="1:8" x14ac:dyDescent="0.45">
      <c r="A186">
        <v>185</v>
      </c>
      <c r="B186" t="s">
        <v>73</v>
      </c>
      <c r="C186" t="s">
        <v>369</v>
      </c>
      <c r="D186">
        <v>-1694.74</v>
      </c>
      <c r="E186" t="s">
        <v>383</v>
      </c>
      <c r="F186" t="s">
        <v>1060</v>
      </c>
      <c r="G186">
        <v>333</v>
      </c>
      <c r="H186" t="s">
        <v>186</v>
      </c>
    </row>
    <row r="187" spans="1:8" x14ac:dyDescent="0.45">
      <c r="A187">
        <v>186</v>
      </c>
      <c r="B187" t="s">
        <v>73</v>
      </c>
      <c r="C187" t="s">
        <v>372</v>
      </c>
      <c r="D187">
        <v>-1341.06</v>
      </c>
      <c r="E187" t="s">
        <v>385</v>
      </c>
      <c r="F187" t="s">
        <v>1060</v>
      </c>
      <c r="G187">
        <v>338</v>
      </c>
      <c r="H187" t="s">
        <v>186</v>
      </c>
    </row>
    <row r="188" spans="1:8" x14ac:dyDescent="0.45">
      <c r="A188">
        <v>187</v>
      </c>
      <c r="B188" t="s">
        <v>73</v>
      </c>
      <c r="C188" t="s">
        <v>376</v>
      </c>
      <c r="D188">
        <v>-2179.4499999999998</v>
      </c>
      <c r="E188" t="s">
        <v>387</v>
      </c>
      <c r="F188" t="s">
        <v>1060</v>
      </c>
      <c r="G188">
        <v>342</v>
      </c>
      <c r="H188" t="s">
        <v>186</v>
      </c>
    </row>
    <row r="189" spans="1:8" x14ac:dyDescent="0.45">
      <c r="A189">
        <v>188</v>
      </c>
      <c r="B189" t="s">
        <v>73</v>
      </c>
      <c r="C189" t="s">
        <v>401</v>
      </c>
      <c r="D189">
        <v>-3288.48</v>
      </c>
      <c r="E189" t="s">
        <v>402</v>
      </c>
      <c r="F189" t="s">
        <v>1060</v>
      </c>
      <c r="G189">
        <v>376</v>
      </c>
      <c r="H189" t="s">
        <v>186</v>
      </c>
    </row>
    <row r="190" spans="1:8" x14ac:dyDescent="0.45">
      <c r="A190">
        <v>189</v>
      </c>
      <c r="B190" t="s">
        <v>73</v>
      </c>
      <c r="C190" t="s">
        <v>408</v>
      </c>
      <c r="D190">
        <v>51587.59</v>
      </c>
      <c r="E190" t="s">
        <v>426</v>
      </c>
      <c r="F190" t="s">
        <v>1060</v>
      </c>
      <c r="G190">
        <v>419</v>
      </c>
      <c r="H190" t="s">
        <v>187</v>
      </c>
    </row>
    <row r="191" spans="1:8" x14ac:dyDescent="0.45">
      <c r="A191">
        <v>190</v>
      </c>
      <c r="B191" t="s">
        <v>73</v>
      </c>
      <c r="C191" t="s">
        <v>410</v>
      </c>
      <c r="D191">
        <v>-4210.2</v>
      </c>
      <c r="E191" t="s">
        <v>427</v>
      </c>
      <c r="F191" t="s">
        <v>1060</v>
      </c>
      <c r="G191">
        <v>423</v>
      </c>
      <c r="H191" t="s">
        <v>187</v>
      </c>
    </row>
    <row r="192" spans="1:8" x14ac:dyDescent="0.45">
      <c r="A192">
        <v>191</v>
      </c>
      <c r="B192" t="s">
        <v>73</v>
      </c>
      <c r="C192" t="s">
        <v>412</v>
      </c>
      <c r="D192">
        <v>-30335</v>
      </c>
      <c r="E192" t="s">
        <v>428</v>
      </c>
      <c r="F192" t="s">
        <v>1060</v>
      </c>
      <c r="G192">
        <v>427</v>
      </c>
      <c r="H192" t="s">
        <v>187</v>
      </c>
    </row>
    <row r="193" spans="1:8" x14ac:dyDescent="0.45">
      <c r="A193">
        <v>192</v>
      </c>
      <c r="B193" t="s">
        <v>73</v>
      </c>
      <c r="C193" t="s">
        <v>414</v>
      </c>
      <c r="D193">
        <v>-4300.32</v>
      </c>
      <c r="E193" t="s">
        <v>429</v>
      </c>
      <c r="F193" t="s">
        <v>1060</v>
      </c>
      <c r="G193">
        <v>431</v>
      </c>
      <c r="H193" t="s">
        <v>187</v>
      </c>
    </row>
    <row r="194" spans="1:8" x14ac:dyDescent="0.45">
      <c r="A194">
        <v>193</v>
      </c>
      <c r="B194" t="s">
        <v>73</v>
      </c>
      <c r="C194" t="s">
        <v>416</v>
      </c>
      <c r="D194">
        <v>-1546.54</v>
      </c>
      <c r="E194" t="s">
        <v>430</v>
      </c>
      <c r="F194" t="s">
        <v>1060</v>
      </c>
      <c r="G194">
        <v>433</v>
      </c>
      <c r="H194" t="s">
        <v>187</v>
      </c>
    </row>
    <row r="195" spans="1:8" x14ac:dyDescent="0.45">
      <c r="A195">
        <v>194</v>
      </c>
      <c r="B195" t="s">
        <v>73</v>
      </c>
      <c r="C195" t="s">
        <v>419</v>
      </c>
      <c r="D195">
        <v>-1354.08</v>
      </c>
      <c r="E195" t="s">
        <v>432</v>
      </c>
      <c r="F195" t="s">
        <v>1060</v>
      </c>
      <c r="G195">
        <v>438</v>
      </c>
      <c r="H195" t="s">
        <v>187</v>
      </c>
    </row>
    <row r="196" spans="1:8" x14ac:dyDescent="0.45">
      <c r="A196">
        <v>195</v>
      </c>
      <c r="B196" t="s">
        <v>73</v>
      </c>
      <c r="C196" t="s">
        <v>423</v>
      </c>
      <c r="D196">
        <v>-2378.3200000000002</v>
      </c>
      <c r="E196" t="s">
        <v>434</v>
      </c>
      <c r="F196" t="s">
        <v>1060</v>
      </c>
      <c r="G196">
        <v>442</v>
      </c>
      <c r="H196" t="s">
        <v>187</v>
      </c>
    </row>
    <row r="197" spans="1:8" x14ac:dyDescent="0.45">
      <c r="A197">
        <v>196</v>
      </c>
      <c r="B197" t="s">
        <v>73</v>
      </c>
      <c r="C197" t="s">
        <v>447</v>
      </c>
      <c r="D197">
        <v>-3320.72</v>
      </c>
      <c r="E197" t="s">
        <v>448</v>
      </c>
      <c r="F197" t="s">
        <v>1060</v>
      </c>
      <c r="G197">
        <v>476</v>
      </c>
      <c r="H197" t="s">
        <v>187</v>
      </c>
    </row>
    <row r="198" spans="1:8" x14ac:dyDescent="0.45">
      <c r="A198">
        <v>197</v>
      </c>
      <c r="B198" t="s">
        <v>73</v>
      </c>
      <c r="C198" t="s">
        <v>454</v>
      </c>
      <c r="D198">
        <v>53352.36</v>
      </c>
      <c r="E198" t="s">
        <v>472</v>
      </c>
      <c r="F198" t="s">
        <v>1060</v>
      </c>
      <c r="G198">
        <v>519</v>
      </c>
      <c r="H198" t="s">
        <v>188</v>
      </c>
    </row>
    <row r="199" spans="1:8" x14ac:dyDescent="0.45">
      <c r="A199">
        <v>198</v>
      </c>
      <c r="B199" t="s">
        <v>73</v>
      </c>
      <c r="C199" t="s">
        <v>456</v>
      </c>
      <c r="D199">
        <v>-4173.53</v>
      </c>
      <c r="E199" t="s">
        <v>473</v>
      </c>
      <c r="F199" t="s">
        <v>1060</v>
      </c>
      <c r="G199">
        <v>523</v>
      </c>
      <c r="H199" t="s">
        <v>188</v>
      </c>
    </row>
    <row r="200" spans="1:8" x14ac:dyDescent="0.45">
      <c r="A200">
        <v>199</v>
      </c>
      <c r="B200" t="s">
        <v>73</v>
      </c>
      <c r="C200" t="s">
        <v>458</v>
      </c>
      <c r="D200">
        <v>-30682.76</v>
      </c>
      <c r="E200" t="s">
        <v>474</v>
      </c>
      <c r="F200" t="s">
        <v>1060</v>
      </c>
      <c r="G200">
        <v>527</v>
      </c>
      <c r="H200" t="s">
        <v>188</v>
      </c>
    </row>
    <row r="201" spans="1:8" x14ac:dyDescent="0.45">
      <c r="A201">
        <v>200</v>
      </c>
      <c r="B201" t="s">
        <v>73</v>
      </c>
      <c r="C201" t="s">
        <v>460</v>
      </c>
      <c r="D201">
        <v>-4321.3999999999996</v>
      </c>
      <c r="E201" t="s">
        <v>475</v>
      </c>
      <c r="F201" t="s">
        <v>1060</v>
      </c>
      <c r="G201">
        <v>531</v>
      </c>
      <c r="H201" t="s">
        <v>188</v>
      </c>
    </row>
    <row r="202" spans="1:8" x14ac:dyDescent="0.45">
      <c r="A202">
        <v>201</v>
      </c>
      <c r="B202" t="s">
        <v>73</v>
      </c>
      <c r="C202" t="s">
        <v>462</v>
      </c>
      <c r="D202">
        <v>-1515.71</v>
      </c>
      <c r="E202" t="s">
        <v>476</v>
      </c>
      <c r="F202" t="s">
        <v>1060</v>
      </c>
      <c r="G202">
        <v>533</v>
      </c>
      <c r="H202" t="s">
        <v>188</v>
      </c>
    </row>
    <row r="203" spans="1:8" x14ac:dyDescent="0.45">
      <c r="A203">
        <v>202</v>
      </c>
      <c r="B203" t="s">
        <v>73</v>
      </c>
      <c r="C203" t="s">
        <v>465</v>
      </c>
      <c r="D203">
        <v>-1367.1</v>
      </c>
      <c r="E203" t="s">
        <v>478</v>
      </c>
      <c r="F203" t="s">
        <v>1060</v>
      </c>
      <c r="G203">
        <v>538</v>
      </c>
      <c r="H203" t="s">
        <v>188</v>
      </c>
    </row>
    <row r="204" spans="1:8" x14ac:dyDescent="0.45">
      <c r="A204">
        <v>203</v>
      </c>
      <c r="B204" t="s">
        <v>73</v>
      </c>
      <c r="C204" t="s">
        <v>469</v>
      </c>
      <c r="D204">
        <v>-2191</v>
      </c>
      <c r="E204" t="s">
        <v>480</v>
      </c>
      <c r="F204" t="s">
        <v>1060</v>
      </c>
      <c r="G204">
        <v>542</v>
      </c>
      <c r="H204" t="s">
        <v>188</v>
      </c>
    </row>
    <row r="205" spans="1:8" x14ac:dyDescent="0.45">
      <c r="A205">
        <v>204</v>
      </c>
      <c r="B205" t="s">
        <v>73</v>
      </c>
      <c r="C205" t="s">
        <v>494</v>
      </c>
      <c r="D205">
        <v>-3352.96</v>
      </c>
      <c r="E205" t="s">
        <v>495</v>
      </c>
      <c r="F205" t="s">
        <v>1060</v>
      </c>
      <c r="G205">
        <v>576</v>
      </c>
      <c r="H205" t="s">
        <v>188</v>
      </c>
    </row>
    <row r="206" spans="1:8" x14ac:dyDescent="0.45">
      <c r="A206">
        <v>205</v>
      </c>
      <c r="B206" t="s">
        <v>73</v>
      </c>
      <c r="C206" t="s">
        <v>501</v>
      </c>
      <c r="D206">
        <v>53012.53</v>
      </c>
      <c r="E206" t="s">
        <v>519</v>
      </c>
      <c r="F206" t="s">
        <v>1060</v>
      </c>
      <c r="G206">
        <v>619</v>
      </c>
      <c r="H206" t="s">
        <v>189</v>
      </c>
    </row>
    <row r="207" spans="1:8" x14ac:dyDescent="0.45">
      <c r="A207">
        <v>206</v>
      </c>
      <c r="B207" t="s">
        <v>73</v>
      </c>
      <c r="C207" t="s">
        <v>503</v>
      </c>
      <c r="D207">
        <v>-4130.95</v>
      </c>
      <c r="E207" t="s">
        <v>520</v>
      </c>
      <c r="F207" t="s">
        <v>1060</v>
      </c>
      <c r="G207">
        <v>623</v>
      </c>
      <c r="H207" t="s">
        <v>189</v>
      </c>
    </row>
    <row r="208" spans="1:8" x14ac:dyDescent="0.45">
      <c r="A208">
        <v>207</v>
      </c>
      <c r="B208" t="s">
        <v>73</v>
      </c>
      <c r="C208" t="s">
        <v>505</v>
      </c>
      <c r="D208">
        <v>-31030.49</v>
      </c>
      <c r="E208" t="s">
        <v>521</v>
      </c>
      <c r="F208" t="s">
        <v>1060</v>
      </c>
      <c r="G208">
        <v>627</v>
      </c>
      <c r="H208" t="s">
        <v>189</v>
      </c>
    </row>
    <row r="209" spans="1:8" x14ac:dyDescent="0.45">
      <c r="A209">
        <v>208</v>
      </c>
      <c r="B209" t="s">
        <v>73</v>
      </c>
      <c r="C209" t="s">
        <v>507</v>
      </c>
      <c r="D209">
        <v>-4342.4799999999996</v>
      </c>
      <c r="E209" t="s">
        <v>522</v>
      </c>
      <c r="F209" t="s">
        <v>1060</v>
      </c>
      <c r="G209">
        <v>631</v>
      </c>
      <c r="H209" t="s">
        <v>189</v>
      </c>
    </row>
    <row r="210" spans="1:8" x14ac:dyDescent="0.45">
      <c r="A210">
        <v>209</v>
      </c>
      <c r="B210" t="s">
        <v>73</v>
      </c>
      <c r="C210" t="s">
        <v>509</v>
      </c>
      <c r="D210">
        <v>-1483.46</v>
      </c>
      <c r="E210" t="s">
        <v>523</v>
      </c>
      <c r="F210" t="s">
        <v>1060</v>
      </c>
      <c r="G210">
        <v>633</v>
      </c>
      <c r="H210" t="s">
        <v>189</v>
      </c>
    </row>
    <row r="211" spans="1:8" x14ac:dyDescent="0.45">
      <c r="A211">
        <v>210</v>
      </c>
      <c r="B211" t="s">
        <v>73</v>
      </c>
      <c r="C211" t="s">
        <v>512</v>
      </c>
      <c r="D211">
        <v>-1380.12</v>
      </c>
      <c r="E211" t="s">
        <v>525</v>
      </c>
      <c r="F211" t="s">
        <v>1060</v>
      </c>
      <c r="G211">
        <v>638</v>
      </c>
      <c r="H211" t="s">
        <v>189</v>
      </c>
    </row>
    <row r="212" spans="1:8" x14ac:dyDescent="0.45">
      <c r="A212">
        <v>211</v>
      </c>
      <c r="B212" t="s">
        <v>73</v>
      </c>
      <c r="C212" t="s">
        <v>516</v>
      </c>
      <c r="D212">
        <v>-2167.58</v>
      </c>
      <c r="E212" t="s">
        <v>527</v>
      </c>
      <c r="F212" t="s">
        <v>1060</v>
      </c>
      <c r="G212">
        <v>642</v>
      </c>
      <c r="H212" t="s">
        <v>189</v>
      </c>
    </row>
    <row r="213" spans="1:8" x14ac:dyDescent="0.45">
      <c r="A213">
        <v>212</v>
      </c>
      <c r="B213" t="s">
        <v>73</v>
      </c>
      <c r="C213" t="s">
        <v>541</v>
      </c>
      <c r="D213">
        <v>-3385.2</v>
      </c>
      <c r="E213" t="s">
        <v>542</v>
      </c>
      <c r="F213" t="s">
        <v>1060</v>
      </c>
      <c r="G213">
        <v>676</v>
      </c>
      <c r="H213" t="s">
        <v>189</v>
      </c>
    </row>
    <row r="214" spans="1:8" x14ac:dyDescent="0.45">
      <c r="A214">
        <v>213</v>
      </c>
      <c r="B214" t="s">
        <v>73</v>
      </c>
      <c r="C214" t="s">
        <v>548</v>
      </c>
      <c r="D214">
        <v>62455.59</v>
      </c>
      <c r="E214" t="s">
        <v>566</v>
      </c>
      <c r="F214" t="s">
        <v>1060</v>
      </c>
      <c r="G214">
        <v>719</v>
      </c>
      <c r="H214" t="s">
        <v>190</v>
      </c>
    </row>
    <row r="215" spans="1:8" x14ac:dyDescent="0.45">
      <c r="A215">
        <v>214</v>
      </c>
      <c r="B215" t="s">
        <v>73</v>
      </c>
      <c r="C215" t="s">
        <v>550</v>
      </c>
      <c r="D215">
        <v>-4842.18</v>
      </c>
      <c r="E215" t="s">
        <v>567</v>
      </c>
      <c r="F215" t="s">
        <v>1060</v>
      </c>
      <c r="G215">
        <v>723</v>
      </c>
      <c r="H215" t="s">
        <v>190</v>
      </c>
    </row>
    <row r="216" spans="1:8" x14ac:dyDescent="0.45">
      <c r="A216">
        <v>215</v>
      </c>
      <c r="B216" t="s">
        <v>73</v>
      </c>
      <c r="C216" t="s">
        <v>552</v>
      </c>
      <c r="D216">
        <v>-31378.25</v>
      </c>
      <c r="E216" t="s">
        <v>568</v>
      </c>
      <c r="F216" t="s">
        <v>1060</v>
      </c>
      <c r="G216">
        <v>727</v>
      </c>
      <c r="H216" t="s">
        <v>190</v>
      </c>
    </row>
    <row r="217" spans="1:8" x14ac:dyDescent="0.45">
      <c r="A217">
        <v>216</v>
      </c>
      <c r="B217" t="s">
        <v>73</v>
      </c>
      <c r="C217" t="s">
        <v>554</v>
      </c>
      <c r="D217">
        <v>-4363.5600000000004</v>
      </c>
      <c r="E217" t="s">
        <v>569</v>
      </c>
      <c r="F217" t="s">
        <v>1060</v>
      </c>
      <c r="G217">
        <v>731</v>
      </c>
      <c r="H217" t="s">
        <v>190</v>
      </c>
    </row>
    <row r="218" spans="1:8" x14ac:dyDescent="0.45">
      <c r="A218">
        <v>217</v>
      </c>
      <c r="B218" t="s">
        <v>73</v>
      </c>
      <c r="C218" t="s">
        <v>556</v>
      </c>
      <c r="D218">
        <v>-1719.61</v>
      </c>
      <c r="E218" t="s">
        <v>570</v>
      </c>
      <c r="F218" t="s">
        <v>1060</v>
      </c>
      <c r="G218">
        <v>733</v>
      </c>
      <c r="H218" t="s">
        <v>190</v>
      </c>
    </row>
    <row r="219" spans="1:8" x14ac:dyDescent="0.45">
      <c r="A219">
        <v>218</v>
      </c>
      <c r="B219" t="s">
        <v>73</v>
      </c>
      <c r="C219" t="s">
        <v>559</v>
      </c>
      <c r="D219">
        <v>-1393.14</v>
      </c>
      <c r="E219" t="s">
        <v>572</v>
      </c>
      <c r="F219" t="s">
        <v>1060</v>
      </c>
      <c r="G219">
        <v>738</v>
      </c>
      <c r="H219" t="s">
        <v>190</v>
      </c>
    </row>
    <row r="220" spans="1:8" x14ac:dyDescent="0.45">
      <c r="A220">
        <v>219</v>
      </c>
      <c r="B220" t="s">
        <v>73</v>
      </c>
      <c r="C220" t="s">
        <v>563</v>
      </c>
      <c r="D220">
        <v>-2141.27</v>
      </c>
      <c r="E220" t="s">
        <v>574</v>
      </c>
      <c r="F220" t="s">
        <v>1060</v>
      </c>
      <c r="G220">
        <v>742</v>
      </c>
      <c r="H220" t="s">
        <v>190</v>
      </c>
    </row>
    <row r="221" spans="1:8" x14ac:dyDescent="0.45">
      <c r="A221">
        <v>220</v>
      </c>
      <c r="B221" t="s">
        <v>73</v>
      </c>
      <c r="C221" t="s">
        <v>548</v>
      </c>
      <c r="D221">
        <v>-3417.44</v>
      </c>
      <c r="E221" t="s">
        <v>588</v>
      </c>
      <c r="F221" t="s">
        <v>1060</v>
      </c>
      <c r="G221">
        <v>776</v>
      </c>
      <c r="H221" t="s">
        <v>190</v>
      </c>
    </row>
    <row r="222" spans="1:8" x14ac:dyDescent="0.45">
      <c r="A222">
        <v>221</v>
      </c>
      <c r="B222" t="s">
        <v>73</v>
      </c>
      <c r="C222" t="s">
        <v>594</v>
      </c>
      <c r="D222">
        <v>61266.73</v>
      </c>
      <c r="E222" t="s">
        <v>611</v>
      </c>
      <c r="F222" t="s">
        <v>1060</v>
      </c>
      <c r="G222">
        <v>819</v>
      </c>
      <c r="H222" t="s">
        <v>191</v>
      </c>
    </row>
    <row r="223" spans="1:8" x14ac:dyDescent="0.45">
      <c r="A223">
        <v>222</v>
      </c>
      <c r="B223" t="s">
        <v>73</v>
      </c>
      <c r="C223" t="s">
        <v>596</v>
      </c>
      <c r="D223">
        <v>-4965.55</v>
      </c>
      <c r="E223" t="s">
        <v>612</v>
      </c>
      <c r="F223" t="s">
        <v>1060</v>
      </c>
      <c r="G223">
        <v>823</v>
      </c>
      <c r="H223" t="s">
        <v>191</v>
      </c>
    </row>
    <row r="224" spans="1:8" x14ac:dyDescent="0.45">
      <c r="A224">
        <v>223</v>
      </c>
      <c r="B224" t="s">
        <v>73</v>
      </c>
      <c r="C224" t="s">
        <v>598</v>
      </c>
      <c r="D224">
        <v>-31725.98</v>
      </c>
      <c r="E224" t="s">
        <v>613</v>
      </c>
      <c r="F224" t="s">
        <v>1060</v>
      </c>
      <c r="G224">
        <v>827</v>
      </c>
      <c r="H224" t="s">
        <v>191</v>
      </c>
    </row>
    <row r="225" spans="1:8" x14ac:dyDescent="0.45">
      <c r="A225">
        <v>224</v>
      </c>
      <c r="B225" t="s">
        <v>73</v>
      </c>
      <c r="C225" t="s">
        <v>600</v>
      </c>
      <c r="D225">
        <v>-4384.6400000000003</v>
      </c>
      <c r="E225" t="s">
        <v>614</v>
      </c>
      <c r="F225" t="s">
        <v>1060</v>
      </c>
      <c r="G225">
        <v>831</v>
      </c>
      <c r="H225" t="s">
        <v>191</v>
      </c>
    </row>
    <row r="226" spans="1:8" x14ac:dyDescent="0.45">
      <c r="A226">
        <v>225</v>
      </c>
      <c r="B226" t="s">
        <v>73</v>
      </c>
      <c r="C226" t="s">
        <v>602</v>
      </c>
      <c r="D226">
        <v>-1744.12</v>
      </c>
      <c r="E226" t="s">
        <v>615</v>
      </c>
      <c r="F226" t="s">
        <v>1060</v>
      </c>
      <c r="G226">
        <v>833</v>
      </c>
      <c r="H226" t="s">
        <v>191</v>
      </c>
    </row>
    <row r="227" spans="1:8" x14ac:dyDescent="0.45">
      <c r="A227">
        <v>226</v>
      </c>
      <c r="B227" t="s">
        <v>73</v>
      </c>
      <c r="C227" t="s">
        <v>605</v>
      </c>
      <c r="D227">
        <v>-1406.16</v>
      </c>
      <c r="E227" t="s">
        <v>617</v>
      </c>
      <c r="F227" t="s">
        <v>1060</v>
      </c>
      <c r="G227">
        <v>838</v>
      </c>
      <c r="H227" t="s">
        <v>191</v>
      </c>
    </row>
    <row r="228" spans="1:8" x14ac:dyDescent="0.45">
      <c r="A228">
        <v>227</v>
      </c>
      <c r="B228" t="s">
        <v>73</v>
      </c>
      <c r="C228" t="s">
        <v>608</v>
      </c>
      <c r="D228">
        <v>-2505.12</v>
      </c>
      <c r="E228" t="s">
        <v>619</v>
      </c>
      <c r="F228" t="s">
        <v>1060</v>
      </c>
      <c r="G228">
        <v>842</v>
      </c>
      <c r="H228" t="s">
        <v>191</v>
      </c>
    </row>
    <row r="229" spans="1:8" x14ac:dyDescent="0.45">
      <c r="A229">
        <v>228</v>
      </c>
      <c r="B229" t="s">
        <v>73</v>
      </c>
      <c r="C229" t="s">
        <v>633</v>
      </c>
      <c r="D229">
        <v>-3449.68</v>
      </c>
      <c r="E229" t="s">
        <v>634</v>
      </c>
      <c r="F229" t="s">
        <v>1060</v>
      </c>
      <c r="G229">
        <v>876</v>
      </c>
      <c r="H229" t="s">
        <v>191</v>
      </c>
    </row>
    <row r="230" spans="1:8" x14ac:dyDescent="0.45">
      <c r="A230">
        <v>229</v>
      </c>
      <c r="B230" t="s">
        <v>73</v>
      </c>
      <c r="C230" t="s">
        <v>640</v>
      </c>
      <c r="D230">
        <v>56592.2</v>
      </c>
      <c r="E230" t="s">
        <v>658</v>
      </c>
      <c r="F230" t="s">
        <v>1060</v>
      </c>
      <c r="G230">
        <v>919</v>
      </c>
      <c r="H230" t="s">
        <v>192</v>
      </c>
    </row>
    <row r="231" spans="1:8" x14ac:dyDescent="0.45">
      <c r="A231">
        <v>230</v>
      </c>
      <c r="B231" t="s">
        <v>73</v>
      </c>
      <c r="C231" t="s">
        <v>642</v>
      </c>
      <c r="D231">
        <v>-4335.01</v>
      </c>
      <c r="E231" t="s">
        <v>659</v>
      </c>
      <c r="F231" t="s">
        <v>1060</v>
      </c>
      <c r="G231">
        <v>923</v>
      </c>
      <c r="H231" t="s">
        <v>192</v>
      </c>
    </row>
    <row r="232" spans="1:8" x14ac:dyDescent="0.45">
      <c r="A232">
        <v>231</v>
      </c>
      <c r="B232" t="s">
        <v>73</v>
      </c>
      <c r="C232" t="s">
        <v>644</v>
      </c>
      <c r="D232">
        <v>-32073.74</v>
      </c>
      <c r="E232" t="s">
        <v>660</v>
      </c>
      <c r="F232" t="s">
        <v>1060</v>
      </c>
      <c r="G232">
        <v>927</v>
      </c>
      <c r="H232" t="s">
        <v>192</v>
      </c>
    </row>
    <row r="233" spans="1:8" x14ac:dyDescent="0.45">
      <c r="A233">
        <v>232</v>
      </c>
      <c r="B233" t="s">
        <v>73</v>
      </c>
      <c r="C233" t="s">
        <v>646</v>
      </c>
      <c r="D233">
        <v>-4405.72</v>
      </c>
      <c r="E233" t="s">
        <v>661</v>
      </c>
      <c r="F233" t="s">
        <v>1060</v>
      </c>
      <c r="G233">
        <v>931</v>
      </c>
      <c r="H233" t="s">
        <v>192</v>
      </c>
    </row>
    <row r="234" spans="1:8" x14ac:dyDescent="0.45">
      <c r="A234">
        <v>233</v>
      </c>
      <c r="B234" t="s">
        <v>73</v>
      </c>
      <c r="C234" t="s">
        <v>648</v>
      </c>
      <c r="D234">
        <v>-1506.15</v>
      </c>
      <c r="E234" t="s">
        <v>662</v>
      </c>
      <c r="F234" t="s">
        <v>1060</v>
      </c>
      <c r="G234">
        <v>933</v>
      </c>
      <c r="H234" t="s">
        <v>192</v>
      </c>
    </row>
    <row r="235" spans="1:8" x14ac:dyDescent="0.45">
      <c r="A235">
        <v>234</v>
      </c>
      <c r="B235" t="s">
        <v>73</v>
      </c>
      <c r="C235" t="s">
        <v>651</v>
      </c>
      <c r="D235">
        <v>-1419.18</v>
      </c>
      <c r="E235" t="s">
        <v>664</v>
      </c>
      <c r="F235" t="s">
        <v>1060</v>
      </c>
      <c r="G235">
        <v>938</v>
      </c>
      <c r="H235" t="s">
        <v>192</v>
      </c>
    </row>
    <row r="236" spans="1:8" x14ac:dyDescent="0.45">
      <c r="A236">
        <v>235</v>
      </c>
      <c r="B236" t="s">
        <v>73</v>
      </c>
      <c r="C236" t="s">
        <v>655</v>
      </c>
      <c r="D236">
        <v>-2564.13</v>
      </c>
      <c r="E236" t="s">
        <v>666</v>
      </c>
      <c r="F236" t="s">
        <v>1060</v>
      </c>
      <c r="G236">
        <v>942</v>
      </c>
      <c r="H236" t="s">
        <v>192</v>
      </c>
    </row>
    <row r="237" spans="1:8" x14ac:dyDescent="0.45">
      <c r="A237">
        <v>236</v>
      </c>
      <c r="B237" t="s">
        <v>73</v>
      </c>
      <c r="C237" t="s">
        <v>680</v>
      </c>
      <c r="D237">
        <v>-3481.92</v>
      </c>
      <c r="E237" t="s">
        <v>681</v>
      </c>
      <c r="F237" t="s">
        <v>1060</v>
      </c>
      <c r="G237">
        <v>976</v>
      </c>
      <c r="H237" t="s">
        <v>192</v>
      </c>
    </row>
    <row r="238" spans="1:8" x14ac:dyDescent="0.45">
      <c r="A238">
        <v>237</v>
      </c>
      <c r="B238" t="s">
        <v>73</v>
      </c>
      <c r="C238" t="s">
        <v>687</v>
      </c>
      <c r="D238">
        <v>63382.69</v>
      </c>
      <c r="E238" t="s">
        <v>705</v>
      </c>
      <c r="F238" t="s">
        <v>1060</v>
      </c>
      <c r="G238">
        <v>1019</v>
      </c>
      <c r="H238" t="s">
        <v>193</v>
      </c>
    </row>
    <row r="239" spans="1:8" x14ac:dyDescent="0.45">
      <c r="A239">
        <v>238</v>
      </c>
      <c r="B239" t="s">
        <v>73</v>
      </c>
      <c r="C239" t="s">
        <v>689</v>
      </c>
      <c r="D239">
        <v>-4909.74</v>
      </c>
      <c r="E239" t="s">
        <v>706</v>
      </c>
      <c r="F239" t="s">
        <v>1060</v>
      </c>
      <c r="G239">
        <v>1023</v>
      </c>
      <c r="H239" t="s">
        <v>193</v>
      </c>
    </row>
    <row r="240" spans="1:8" x14ac:dyDescent="0.45">
      <c r="A240">
        <v>239</v>
      </c>
      <c r="B240" t="s">
        <v>73</v>
      </c>
      <c r="C240" t="s">
        <v>691</v>
      </c>
      <c r="D240">
        <v>-32421.48</v>
      </c>
      <c r="E240" t="s">
        <v>707</v>
      </c>
      <c r="F240" t="s">
        <v>1060</v>
      </c>
      <c r="G240">
        <v>1027</v>
      </c>
      <c r="H240" t="s">
        <v>193</v>
      </c>
    </row>
    <row r="241" spans="1:8" x14ac:dyDescent="0.45">
      <c r="A241">
        <v>240</v>
      </c>
      <c r="B241" t="s">
        <v>73</v>
      </c>
      <c r="C241" t="s">
        <v>693</v>
      </c>
      <c r="D241">
        <v>-4426.8</v>
      </c>
      <c r="E241" t="s">
        <v>708</v>
      </c>
      <c r="F241" t="s">
        <v>1060</v>
      </c>
      <c r="G241">
        <v>1031</v>
      </c>
      <c r="H241" t="s">
        <v>193</v>
      </c>
    </row>
    <row r="242" spans="1:8" x14ac:dyDescent="0.45">
      <c r="A242">
        <v>241</v>
      </c>
      <c r="B242" t="s">
        <v>73</v>
      </c>
      <c r="C242" t="s">
        <v>695</v>
      </c>
      <c r="D242">
        <v>-1687.56</v>
      </c>
      <c r="E242" t="s">
        <v>709</v>
      </c>
      <c r="F242" t="s">
        <v>1060</v>
      </c>
      <c r="G242">
        <v>1033</v>
      </c>
      <c r="H242" t="s">
        <v>193</v>
      </c>
    </row>
    <row r="243" spans="1:8" x14ac:dyDescent="0.45">
      <c r="A243">
        <v>242</v>
      </c>
      <c r="B243" t="s">
        <v>73</v>
      </c>
      <c r="C243" t="s">
        <v>698</v>
      </c>
      <c r="D243">
        <v>-1432.2</v>
      </c>
      <c r="E243" t="s">
        <v>711</v>
      </c>
      <c r="F243" t="s">
        <v>1060</v>
      </c>
      <c r="G243">
        <v>1038</v>
      </c>
      <c r="H243" t="s">
        <v>193</v>
      </c>
    </row>
    <row r="244" spans="1:8" x14ac:dyDescent="0.45">
      <c r="A244">
        <v>243</v>
      </c>
      <c r="B244" t="s">
        <v>73</v>
      </c>
      <c r="C244" t="s">
        <v>702</v>
      </c>
      <c r="D244">
        <v>-2234.4</v>
      </c>
      <c r="E244" t="s">
        <v>713</v>
      </c>
      <c r="F244" t="s">
        <v>1060</v>
      </c>
      <c r="G244">
        <v>1042</v>
      </c>
      <c r="H244" t="s">
        <v>193</v>
      </c>
    </row>
    <row r="245" spans="1:8" x14ac:dyDescent="0.45">
      <c r="A245">
        <v>244</v>
      </c>
      <c r="B245" t="s">
        <v>73</v>
      </c>
      <c r="C245" t="s">
        <v>687</v>
      </c>
      <c r="D245">
        <v>-3514.16</v>
      </c>
      <c r="E245" t="s">
        <v>727</v>
      </c>
      <c r="F245" t="s">
        <v>1060</v>
      </c>
      <c r="G245">
        <v>1076</v>
      </c>
      <c r="H245" t="s">
        <v>193</v>
      </c>
    </row>
    <row r="246" spans="1:8" x14ac:dyDescent="0.45">
      <c r="A246">
        <v>245</v>
      </c>
      <c r="B246" t="s">
        <v>73</v>
      </c>
      <c r="C246" t="s">
        <v>733</v>
      </c>
      <c r="D246">
        <v>62662.77</v>
      </c>
      <c r="E246" t="s">
        <v>751</v>
      </c>
      <c r="F246" t="s">
        <v>1060</v>
      </c>
      <c r="G246">
        <v>1119</v>
      </c>
      <c r="H246" t="s">
        <v>194</v>
      </c>
    </row>
    <row r="247" spans="1:8" x14ac:dyDescent="0.45">
      <c r="A247">
        <v>246</v>
      </c>
      <c r="B247" t="s">
        <v>73</v>
      </c>
      <c r="C247" t="s">
        <v>735</v>
      </c>
      <c r="D247">
        <v>-4850.41</v>
      </c>
      <c r="E247" t="s">
        <v>752</v>
      </c>
      <c r="F247" t="s">
        <v>1060</v>
      </c>
      <c r="G247">
        <v>1123</v>
      </c>
      <c r="H247" t="s">
        <v>194</v>
      </c>
    </row>
    <row r="248" spans="1:8" x14ac:dyDescent="0.45">
      <c r="A248">
        <v>247</v>
      </c>
      <c r="B248" t="s">
        <v>73</v>
      </c>
      <c r="C248" t="s">
        <v>737</v>
      </c>
      <c r="D248">
        <v>-32769.230000000003</v>
      </c>
      <c r="E248" t="s">
        <v>753</v>
      </c>
      <c r="F248" t="s">
        <v>1060</v>
      </c>
      <c r="G248">
        <v>1127</v>
      </c>
      <c r="H248" t="s">
        <v>194</v>
      </c>
    </row>
    <row r="249" spans="1:8" x14ac:dyDescent="0.45">
      <c r="A249">
        <v>248</v>
      </c>
      <c r="B249" t="s">
        <v>73</v>
      </c>
      <c r="C249" t="s">
        <v>739</v>
      </c>
      <c r="D249">
        <v>-4447.88</v>
      </c>
      <c r="E249" t="s">
        <v>754</v>
      </c>
      <c r="F249" t="s">
        <v>1060</v>
      </c>
      <c r="G249">
        <v>1131</v>
      </c>
      <c r="H249" t="s">
        <v>194</v>
      </c>
    </row>
    <row r="250" spans="1:8" x14ac:dyDescent="0.45">
      <c r="A250">
        <v>249</v>
      </c>
      <c r="B250" t="s">
        <v>73</v>
      </c>
      <c r="C250" t="s">
        <v>741</v>
      </c>
      <c r="D250">
        <v>-1649.5</v>
      </c>
      <c r="E250" t="s">
        <v>755</v>
      </c>
      <c r="F250" t="s">
        <v>1060</v>
      </c>
      <c r="G250">
        <v>1133</v>
      </c>
      <c r="H250" t="s">
        <v>194</v>
      </c>
    </row>
    <row r="251" spans="1:8" x14ac:dyDescent="0.45">
      <c r="A251">
        <v>250</v>
      </c>
      <c r="B251" t="s">
        <v>73</v>
      </c>
      <c r="C251" t="s">
        <v>744</v>
      </c>
      <c r="D251">
        <v>-1445.22</v>
      </c>
      <c r="E251" t="s">
        <v>757</v>
      </c>
      <c r="F251" t="s">
        <v>1060</v>
      </c>
      <c r="G251">
        <v>1138</v>
      </c>
      <c r="H251" t="s">
        <v>194</v>
      </c>
    </row>
    <row r="252" spans="1:8" x14ac:dyDescent="0.45">
      <c r="A252">
        <v>251</v>
      </c>
      <c r="B252" t="s">
        <v>73</v>
      </c>
      <c r="C252" t="s">
        <v>748</v>
      </c>
      <c r="D252">
        <v>-2526.06</v>
      </c>
      <c r="E252" t="s">
        <v>759</v>
      </c>
      <c r="F252" t="s">
        <v>1060</v>
      </c>
      <c r="G252">
        <v>1142</v>
      </c>
      <c r="H252" t="s">
        <v>194</v>
      </c>
    </row>
    <row r="253" spans="1:8" x14ac:dyDescent="0.45">
      <c r="A253">
        <v>252</v>
      </c>
      <c r="B253" t="s">
        <v>73</v>
      </c>
      <c r="C253" t="s">
        <v>773</v>
      </c>
      <c r="D253">
        <v>-3546.4</v>
      </c>
      <c r="E253" t="s">
        <v>774</v>
      </c>
      <c r="F253" t="s">
        <v>1060</v>
      </c>
      <c r="G253">
        <v>1176</v>
      </c>
      <c r="H253" t="s">
        <v>194</v>
      </c>
    </row>
    <row r="254" spans="1:8" x14ac:dyDescent="0.45">
      <c r="A254">
        <v>253</v>
      </c>
      <c r="B254" t="s">
        <v>73</v>
      </c>
      <c r="C254" t="s">
        <v>780</v>
      </c>
      <c r="D254">
        <v>67695.03</v>
      </c>
      <c r="E254" t="s">
        <v>798</v>
      </c>
      <c r="F254" t="s">
        <v>1060</v>
      </c>
      <c r="G254">
        <v>1219</v>
      </c>
      <c r="H254" t="s">
        <v>195</v>
      </c>
    </row>
    <row r="255" spans="1:8" x14ac:dyDescent="0.45">
      <c r="A255">
        <v>254</v>
      </c>
      <c r="B255" t="s">
        <v>73</v>
      </c>
      <c r="C255" t="s">
        <v>782</v>
      </c>
      <c r="D255">
        <v>-5170.05</v>
      </c>
      <c r="E255" t="s">
        <v>799</v>
      </c>
      <c r="F255" t="s">
        <v>1060</v>
      </c>
      <c r="G255">
        <v>1223</v>
      </c>
      <c r="H255" t="s">
        <v>195</v>
      </c>
    </row>
    <row r="256" spans="1:8" x14ac:dyDescent="0.45">
      <c r="A256">
        <v>255</v>
      </c>
      <c r="B256" t="s">
        <v>73</v>
      </c>
      <c r="C256" t="s">
        <v>784</v>
      </c>
      <c r="D256">
        <v>-33116.980000000003</v>
      </c>
      <c r="E256" t="s">
        <v>800</v>
      </c>
      <c r="F256" t="s">
        <v>1060</v>
      </c>
      <c r="G256">
        <v>1227</v>
      </c>
      <c r="H256" t="s">
        <v>195</v>
      </c>
    </row>
    <row r="257" spans="1:8" x14ac:dyDescent="0.45">
      <c r="A257">
        <v>256</v>
      </c>
      <c r="B257" t="s">
        <v>73</v>
      </c>
      <c r="C257" t="s">
        <v>786</v>
      </c>
      <c r="D257">
        <v>-4468.96</v>
      </c>
      <c r="E257" t="s">
        <v>801</v>
      </c>
      <c r="F257" t="s">
        <v>1060</v>
      </c>
      <c r="G257">
        <v>1231</v>
      </c>
      <c r="H257" t="s">
        <v>195</v>
      </c>
    </row>
    <row r="258" spans="1:8" x14ac:dyDescent="0.45">
      <c r="A258">
        <v>257</v>
      </c>
      <c r="B258" t="s">
        <v>73</v>
      </c>
      <c r="C258" t="s">
        <v>788</v>
      </c>
      <c r="D258">
        <v>-1739.75</v>
      </c>
      <c r="E258" t="s">
        <v>802</v>
      </c>
      <c r="F258" t="s">
        <v>1060</v>
      </c>
      <c r="G258">
        <v>1233</v>
      </c>
      <c r="H258" t="s">
        <v>195</v>
      </c>
    </row>
    <row r="259" spans="1:8" x14ac:dyDescent="0.45">
      <c r="A259">
        <v>258</v>
      </c>
      <c r="B259" t="s">
        <v>73</v>
      </c>
      <c r="C259" t="s">
        <v>791</v>
      </c>
      <c r="D259">
        <v>-1458.24</v>
      </c>
      <c r="E259" t="s">
        <v>804</v>
      </c>
      <c r="F259" t="s">
        <v>1060</v>
      </c>
      <c r="G259">
        <v>1238</v>
      </c>
      <c r="H259" t="s">
        <v>195</v>
      </c>
    </row>
    <row r="260" spans="1:8" x14ac:dyDescent="0.45">
      <c r="A260">
        <v>259</v>
      </c>
      <c r="B260" t="s">
        <v>73</v>
      </c>
      <c r="C260" t="s">
        <v>795</v>
      </c>
      <c r="D260">
        <v>-2491.12</v>
      </c>
      <c r="E260" t="s">
        <v>806</v>
      </c>
      <c r="F260" t="s">
        <v>1060</v>
      </c>
      <c r="G260">
        <v>1242</v>
      </c>
      <c r="H260" t="s">
        <v>195</v>
      </c>
    </row>
    <row r="261" spans="1:8" x14ac:dyDescent="0.45">
      <c r="A261">
        <v>260</v>
      </c>
      <c r="B261" t="s">
        <v>73</v>
      </c>
      <c r="C261" t="s">
        <v>819</v>
      </c>
      <c r="D261">
        <v>-3578.64</v>
      </c>
      <c r="E261" t="s">
        <v>820</v>
      </c>
      <c r="F261" t="s">
        <v>1060</v>
      </c>
      <c r="G261">
        <v>1276</v>
      </c>
      <c r="H261" t="s">
        <v>195</v>
      </c>
    </row>
    <row r="262" spans="1:8" x14ac:dyDescent="0.45">
      <c r="A262">
        <v>261</v>
      </c>
      <c r="B262" t="s">
        <v>73</v>
      </c>
      <c r="C262" t="s">
        <v>826</v>
      </c>
      <c r="D262">
        <v>61507.43</v>
      </c>
      <c r="E262" t="s">
        <v>843</v>
      </c>
      <c r="F262" t="s">
        <v>1060</v>
      </c>
      <c r="G262">
        <v>1319</v>
      </c>
      <c r="H262" t="s">
        <v>196</v>
      </c>
    </row>
    <row r="263" spans="1:8" x14ac:dyDescent="0.45">
      <c r="A263">
        <v>262</v>
      </c>
      <c r="B263" t="s">
        <v>73</v>
      </c>
      <c r="C263" t="s">
        <v>828</v>
      </c>
      <c r="D263">
        <v>-4688.42</v>
      </c>
      <c r="E263" t="s">
        <v>844</v>
      </c>
      <c r="F263" t="s">
        <v>1060</v>
      </c>
      <c r="G263">
        <v>1323</v>
      </c>
      <c r="H263" t="s">
        <v>196</v>
      </c>
    </row>
    <row r="264" spans="1:8" x14ac:dyDescent="0.45">
      <c r="A264">
        <v>263</v>
      </c>
      <c r="B264" t="s">
        <v>73</v>
      </c>
      <c r="C264" t="s">
        <v>830</v>
      </c>
      <c r="D264">
        <v>-33464.71</v>
      </c>
      <c r="E264" t="s">
        <v>845</v>
      </c>
      <c r="F264" t="s">
        <v>1060</v>
      </c>
      <c r="G264">
        <v>1327</v>
      </c>
      <c r="H264" t="s">
        <v>196</v>
      </c>
    </row>
    <row r="265" spans="1:8" x14ac:dyDescent="0.45">
      <c r="A265">
        <v>264</v>
      </c>
      <c r="B265" t="s">
        <v>73</v>
      </c>
      <c r="C265" t="s">
        <v>832</v>
      </c>
      <c r="D265">
        <v>-4490.04</v>
      </c>
      <c r="E265" t="s">
        <v>846</v>
      </c>
      <c r="F265" t="s">
        <v>1060</v>
      </c>
      <c r="G265">
        <v>1331</v>
      </c>
      <c r="H265" t="s">
        <v>196</v>
      </c>
    </row>
    <row r="266" spans="1:8" x14ac:dyDescent="0.45">
      <c r="A266">
        <v>265</v>
      </c>
      <c r="B266" t="s">
        <v>73</v>
      </c>
      <c r="C266" t="s">
        <v>834</v>
      </c>
      <c r="D266">
        <v>-1561.3</v>
      </c>
      <c r="E266" t="s">
        <v>847</v>
      </c>
      <c r="F266" t="s">
        <v>1060</v>
      </c>
      <c r="G266">
        <v>1333</v>
      </c>
      <c r="H266" t="s">
        <v>196</v>
      </c>
    </row>
    <row r="267" spans="1:8" x14ac:dyDescent="0.45">
      <c r="A267">
        <v>266</v>
      </c>
      <c r="B267" t="s">
        <v>73</v>
      </c>
      <c r="C267" t="s">
        <v>837</v>
      </c>
      <c r="D267">
        <v>-1471.26</v>
      </c>
      <c r="E267" t="s">
        <v>849</v>
      </c>
      <c r="F267" t="s">
        <v>1060</v>
      </c>
      <c r="G267">
        <v>1338</v>
      </c>
      <c r="H267" t="s">
        <v>196</v>
      </c>
    </row>
    <row r="268" spans="1:8" x14ac:dyDescent="0.45">
      <c r="A268">
        <v>267</v>
      </c>
      <c r="B268" t="s">
        <v>73</v>
      </c>
      <c r="C268" t="s">
        <v>840</v>
      </c>
      <c r="D268">
        <v>-2650.68</v>
      </c>
      <c r="E268" t="s">
        <v>851</v>
      </c>
      <c r="F268" t="s">
        <v>1060</v>
      </c>
      <c r="G268">
        <v>1342</v>
      </c>
      <c r="H268" t="s">
        <v>196</v>
      </c>
    </row>
    <row r="269" spans="1:8" x14ac:dyDescent="0.45">
      <c r="A269">
        <v>268</v>
      </c>
      <c r="B269" t="s">
        <v>73</v>
      </c>
      <c r="C269" t="s">
        <v>865</v>
      </c>
      <c r="D269">
        <v>-3610.88</v>
      </c>
      <c r="E269" t="s">
        <v>866</v>
      </c>
      <c r="F269" t="s">
        <v>1060</v>
      </c>
      <c r="G269">
        <v>1376</v>
      </c>
      <c r="H269" t="s">
        <v>196</v>
      </c>
    </row>
    <row r="270" spans="1:8" x14ac:dyDescent="0.45">
      <c r="A270">
        <v>269</v>
      </c>
      <c r="B270" t="s">
        <v>73</v>
      </c>
      <c r="C270" t="s">
        <v>872</v>
      </c>
      <c r="D270">
        <v>61111.199999999997</v>
      </c>
      <c r="E270" t="s">
        <v>890</v>
      </c>
      <c r="F270" t="s">
        <v>1060</v>
      </c>
      <c r="G270">
        <v>1419</v>
      </c>
      <c r="H270" t="s">
        <v>197</v>
      </c>
    </row>
    <row r="271" spans="1:8" x14ac:dyDescent="0.45">
      <c r="A271">
        <v>270</v>
      </c>
      <c r="B271" t="s">
        <v>73</v>
      </c>
      <c r="C271" t="s">
        <v>874</v>
      </c>
      <c r="D271">
        <v>-4601.37</v>
      </c>
      <c r="E271" t="s">
        <v>891</v>
      </c>
      <c r="F271" t="s">
        <v>1060</v>
      </c>
      <c r="G271">
        <v>1423</v>
      </c>
      <c r="H271" t="s">
        <v>197</v>
      </c>
    </row>
    <row r="272" spans="1:8" x14ac:dyDescent="0.45">
      <c r="A272">
        <v>271</v>
      </c>
      <c r="B272" t="s">
        <v>73</v>
      </c>
      <c r="C272" t="s">
        <v>876</v>
      </c>
      <c r="D272">
        <v>-33812.47</v>
      </c>
      <c r="E272" t="s">
        <v>892</v>
      </c>
      <c r="F272" t="s">
        <v>1060</v>
      </c>
      <c r="G272">
        <v>1427</v>
      </c>
      <c r="H272" t="s">
        <v>197</v>
      </c>
    </row>
    <row r="273" spans="1:8" x14ac:dyDescent="0.45">
      <c r="A273">
        <v>272</v>
      </c>
      <c r="B273" t="s">
        <v>73</v>
      </c>
      <c r="C273" t="s">
        <v>878</v>
      </c>
      <c r="D273">
        <v>-4511.12</v>
      </c>
      <c r="E273" t="s">
        <v>893</v>
      </c>
      <c r="F273" t="s">
        <v>1060</v>
      </c>
      <c r="G273">
        <v>1431</v>
      </c>
      <c r="H273" t="s">
        <v>197</v>
      </c>
    </row>
    <row r="274" spans="1:8" x14ac:dyDescent="0.45">
      <c r="A274">
        <v>273</v>
      </c>
      <c r="B274" t="s">
        <v>73</v>
      </c>
      <c r="C274" t="s">
        <v>880</v>
      </c>
      <c r="D274">
        <v>-1516.57</v>
      </c>
      <c r="E274" t="s">
        <v>894</v>
      </c>
      <c r="F274" t="s">
        <v>1060</v>
      </c>
      <c r="G274">
        <v>1433</v>
      </c>
      <c r="H274" t="s">
        <v>197</v>
      </c>
    </row>
    <row r="275" spans="1:8" x14ac:dyDescent="0.45">
      <c r="A275">
        <v>274</v>
      </c>
      <c r="B275" t="s">
        <v>73</v>
      </c>
      <c r="C275" t="s">
        <v>883</v>
      </c>
      <c r="D275">
        <v>-1484.28</v>
      </c>
      <c r="E275" t="s">
        <v>896</v>
      </c>
      <c r="F275" t="s">
        <v>1060</v>
      </c>
      <c r="G275">
        <v>1438</v>
      </c>
      <c r="H275" t="s">
        <v>197</v>
      </c>
    </row>
    <row r="276" spans="1:8" x14ac:dyDescent="0.45">
      <c r="A276">
        <v>275</v>
      </c>
      <c r="B276" t="s">
        <v>73</v>
      </c>
      <c r="C276" t="s">
        <v>887</v>
      </c>
      <c r="D276">
        <v>-2399.66</v>
      </c>
      <c r="E276" t="s">
        <v>898</v>
      </c>
      <c r="F276" t="s">
        <v>1060</v>
      </c>
      <c r="G276">
        <v>1442</v>
      </c>
      <c r="H276" t="s">
        <v>197</v>
      </c>
    </row>
    <row r="277" spans="1:8" x14ac:dyDescent="0.45">
      <c r="A277">
        <v>276</v>
      </c>
      <c r="B277" t="s">
        <v>73</v>
      </c>
      <c r="C277" t="s">
        <v>912</v>
      </c>
      <c r="D277">
        <v>-3643.12</v>
      </c>
      <c r="E277" t="s">
        <v>913</v>
      </c>
      <c r="F277" t="s">
        <v>1060</v>
      </c>
      <c r="G277">
        <v>1476</v>
      </c>
      <c r="H277" t="s">
        <v>197</v>
      </c>
    </row>
    <row r="278" spans="1:8" x14ac:dyDescent="0.45">
      <c r="A278">
        <v>277</v>
      </c>
      <c r="B278" t="s">
        <v>73</v>
      </c>
      <c r="C278" t="s">
        <v>919</v>
      </c>
      <c r="D278">
        <v>55236.4</v>
      </c>
      <c r="E278" t="s">
        <v>937</v>
      </c>
      <c r="F278" t="s">
        <v>1060</v>
      </c>
      <c r="G278">
        <v>1519</v>
      </c>
      <c r="H278" t="s">
        <v>198</v>
      </c>
    </row>
    <row r="279" spans="1:8" x14ac:dyDescent="0.45">
      <c r="A279">
        <v>278</v>
      </c>
      <c r="B279" t="s">
        <v>73</v>
      </c>
      <c r="C279" t="s">
        <v>921</v>
      </c>
      <c r="D279">
        <v>-4487.6899999999996</v>
      </c>
      <c r="E279" t="s">
        <v>938</v>
      </c>
      <c r="F279" t="s">
        <v>1060</v>
      </c>
      <c r="G279">
        <v>1523</v>
      </c>
      <c r="H279" t="s">
        <v>198</v>
      </c>
    </row>
    <row r="280" spans="1:8" x14ac:dyDescent="0.45">
      <c r="A280">
        <v>279</v>
      </c>
      <c r="B280" t="s">
        <v>73</v>
      </c>
      <c r="C280" t="s">
        <v>923</v>
      </c>
      <c r="D280">
        <v>-34160.199999999997</v>
      </c>
      <c r="E280" t="s">
        <v>939</v>
      </c>
      <c r="F280" t="s">
        <v>1060</v>
      </c>
      <c r="G280">
        <v>1527</v>
      </c>
      <c r="H280" t="s">
        <v>198</v>
      </c>
    </row>
    <row r="281" spans="1:8" x14ac:dyDescent="0.45">
      <c r="A281">
        <v>280</v>
      </c>
      <c r="B281" t="s">
        <v>73</v>
      </c>
      <c r="C281" t="s">
        <v>925</v>
      </c>
      <c r="D281">
        <v>-4532.2</v>
      </c>
      <c r="E281" t="s">
        <v>940</v>
      </c>
      <c r="F281" t="s">
        <v>1060</v>
      </c>
      <c r="G281">
        <v>1531</v>
      </c>
      <c r="H281" t="s">
        <v>198</v>
      </c>
    </row>
    <row r="282" spans="1:8" x14ac:dyDescent="0.45">
      <c r="A282">
        <v>281</v>
      </c>
      <c r="B282" t="s">
        <v>73</v>
      </c>
      <c r="C282" t="s">
        <v>927</v>
      </c>
      <c r="D282">
        <v>-1464.06</v>
      </c>
      <c r="E282" t="s">
        <v>941</v>
      </c>
      <c r="F282" t="s">
        <v>1060</v>
      </c>
      <c r="G282">
        <v>1533</v>
      </c>
      <c r="H282" t="s">
        <v>198</v>
      </c>
    </row>
    <row r="283" spans="1:8" x14ac:dyDescent="0.45">
      <c r="A283">
        <v>282</v>
      </c>
      <c r="B283" t="s">
        <v>73</v>
      </c>
      <c r="C283" t="s">
        <v>930</v>
      </c>
      <c r="D283">
        <v>-1497.3</v>
      </c>
      <c r="E283" t="s">
        <v>943</v>
      </c>
      <c r="F283" t="s">
        <v>1060</v>
      </c>
      <c r="G283">
        <v>1538</v>
      </c>
      <c r="H283" t="s">
        <v>198</v>
      </c>
    </row>
    <row r="284" spans="1:8" x14ac:dyDescent="0.45">
      <c r="A284">
        <v>283</v>
      </c>
      <c r="B284" t="s">
        <v>73</v>
      </c>
      <c r="C284" t="s">
        <v>934</v>
      </c>
      <c r="D284">
        <v>-2351.15</v>
      </c>
      <c r="E284" t="s">
        <v>945</v>
      </c>
      <c r="F284" t="s">
        <v>1060</v>
      </c>
      <c r="G284">
        <v>1542</v>
      </c>
      <c r="H284" t="s">
        <v>198</v>
      </c>
    </row>
    <row r="285" spans="1:8" x14ac:dyDescent="0.45">
      <c r="A285">
        <v>284</v>
      </c>
      <c r="B285" t="s">
        <v>73</v>
      </c>
      <c r="C285" t="s">
        <v>959</v>
      </c>
      <c r="D285">
        <v>-3675.36</v>
      </c>
      <c r="E285" t="s">
        <v>960</v>
      </c>
      <c r="F285" t="s">
        <v>1060</v>
      </c>
      <c r="G285">
        <v>1576</v>
      </c>
      <c r="H285" t="s">
        <v>198</v>
      </c>
    </row>
    <row r="286" spans="1:8" x14ac:dyDescent="0.45">
      <c r="A286">
        <v>285</v>
      </c>
      <c r="B286" t="s">
        <v>73</v>
      </c>
      <c r="C286" t="s">
        <v>966</v>
      </c>
      <c r="D286">
        <v>59972.73</v>
      </c>
      <c r="E286" t="s">
        <v>984</v>
      </c>
      <c r="F286" t="s">
        <v>1060</v>
      </c>
      <c r="G286">
        <v>1619</v>
      </c>
      <c r="H286" t="s">
        <v>199</v>
      </c>
    </row>
    <row r="287" spans="1:8" x14ac:dyDescent="0.45">
      <c r="A287">
        <v>286</v>
      </c>
      <c r="B287" t="s">
        <v>73</v>
      </c>
      <c r="C287" t="s">
        <v>968</v>
      </c>
      <c r="D287">
        <v>-4832.93</v>
      </c>
      <c r="E287" t="s">
        <v>985</v>
      </c>
      <c r="F287" t="s">
        <v>1060</v>
      </c>
      <c r="G287">
        <v>1623</v>
      </c>
      <c r="H287" t="s">
        <v>199</v>
      </c>
    </row>
    <row r="288" spans="1:8" x14ac:dyDescent="0.45">
      <c r="A288">
        <v>287</v>
      </c>
      <c r="B288" t="s">
        <v>73</v>
      </c>
      <c r="C288" t="s">
        <v>970</v>
      </c>
      <c r="D288">
        <v>-34507.96</v>
      </c>
      <c r="E288" t="s">
        <v>986</v>
      </c>
      <c r="F288" t="s">
        <v>1060</v>
      </c>
      <c r="G288">
        <v>1627</v>
      </c>
      <c r="H288" t="s">
        <v>199</v>
      </c>
    </row>
    <row r="289" spans="1:8" x14ac:dyDescent="0.45">
      <c r="A289">
        <v>288</v>
      </c>
      <c r="B289" t="s">
        <v>73</v>
      </c>
      <c r="C289" t="s">
        <v>972</v>
      </c>
      <c r="D289">
        <v>-4553.28</v>
      </c>
      <c r="E289" t="s">
        <v>987</v>
      </c>
      <c r="F289" t="s">
        <v>1060</v>
      </c>
      <c r="G289">
        <v>1631</v>
      </c>
      <c r="H289" t="s">
        <v>199</v>
      </c>
    </row>
    <row r="290" spans="1:8" x14ac:dyDescent="0.45">
      <c r="A290">
        <v>289</v>
      </c>
      <c r="B290" t="s">
        <v>73</v>
      </c>
      <c r="C290" t="s">
        <v>974</v>
      </c>
      <c r="D290">
        <v>-1560.82</v>
      </c>
      <c r="E290" t="s">
        <v>988</v>
      </c>
      <c r="F290" t="s">
        <v>1060</v>
      </c>
      <c r="G290">
        <v>1633</v>
      </c>
      <c r="H290" t="s">
        <v>199</v>
      </c>
    </row>
    <row r="291" spans="1:8" x14ac:dyDescent="0.45">
      <c r="A291">
        <v>290</v>
      </c>
      <c r="B291" t="s">
        <v>73</v>
      </c>
      <c r="C291" t="s">
        <v>977</v>
      </c>
      <c r="D291">
        <v>-1510.32</v>
      </c>
      <c r="E291" t="s">
        <v>990</v>
      </c>
      <c r="F291" t="s">
        <v>1060</v>
      </c>
      <c r="G291">
        <v>1638</v>
      </c>
      <c r="H291" t="s">
        <v>199</v>
      </c>
    </row>
    <row r="292" spans="1:8" x14ac:dyDescent="0.45">
      <c r="A292">
        <v>291</v>
      </c>
      <c r="B292" t="s">
        <v>73</v>
      </c>
      <c r="C292" t="s">
        <v>981</v>
      </c>
      <c r="D292">
        <v>-2289.3200000000002</v>
      </c>
      <c r="E292" t="s">
        <v>992</v>
      </c>
      <c r="F292" t="s">
        <v>1060</v>
      </c>
      <c r="G292">
        <v>1642</v>
      </c>
      <c r="H292" t="s">
        <v>199</v>
      </c>
    </row>
    <row r="293" spans="1:8" x14ac:dyDescent="0.45">
      <c r="A293">
        <v>292</v>
      </c>
      <c r="B293" t="s">
        <v>73</v>
      </c>
      <c r="C293" t="s">
        <v>966</v>
      </c>
      <c r="D293">
        <v>-3707.6</v>
      </c>
      <c r="E293" t="s">
        <v>1006</v>
      </c>
      <c r="F293" t="s">
        <v>1060</v>
      </c>
      <c r="G293">
        <v>1676</v>
      </c>
      <c r="H293" t="s">
        <v>199</v>
      </c>
    </row>
    <row r="294" spans="1:8" x14ac:dyDescent="0.45">
      <c r="A294">
        <v>293</v>
      </c>
      <c r="B294" t="s">
        <v>73</v>
      </c>
      <c r="C294" t="s">
        <v>1012</v>
      </c>
      <c r="D294">
        <v>64224.03</v>
      </c>
      <c r="E294" t="s">
        <v>1029</v>
      </c>
      <c r="F294" t="s">
        <v>1060</v>
      </c>
      <c r="G294">
        <v>1719</v>
      </c>
      <c r="H294" t="s">
        <v>200</v>
      </c>
    </row>
    <row r="295" spans="1:8" x14ac:dyDescent="0.45">
      <c r="A295">
        <v>294</v>
      </c>
      <c r="B295" t="s">
        <v>73</v>
      </c>
      <c r="C295" t="s">
        <v>1014</v>
      </c>
      <c r="D295">
        <v>-5052.8999999999996</v>
      </c>
      <c r="E295" t="s">
        <v>1030</v>
      </c>
      <c r="F295" t="s">
        <v>1060</v>
      </c>
      <c r="G295">
        <v>1723</v>
      </c>
      <c r="H295" t="s">
        <v>200</v>
      </c>
    </row>
    <row r="296" spans="1:8" x14ac:dyDescent="0.45">
      <c r="A296">
        <v>295</v>
      </c>
      <c r="B296" t="s">
        <v>73</v>
      </c>
      <c r="C296" t="s">
        <v>1016</v>
      </c>
      <c r="D296">
        <v>-34855.699999999997</v>
      </c>
      <c r="E296" t="s">
        <v>1031</v>
      </c>
      <c r="F296" t="s">
        <v>1060</v>
      </c>
      <c r="G296">
        <v>1727</v>
      </c>
      <c r="H296" t="s">
        <v>200</v>
      </c>
    </row>
    <row r="297" spans="1:8" x14ac:dyDescent="0.45">
      <c r="A297">
        <v>296</v>
      </c>
      <c r="B297" t="s">
        <v>73</v>
      </c>
      <c r="C297" t="s">
        <v>1018</v>
      </c>
      <c r="D297">
        <v>-4574.3599999999997</v>
      </c>
      <c r="E297" t="s">
        <v>1032</v>
      </c>
      <c r="F297" t="s">
        <v>1060</v>
      </c>
      <c r="G297">
        <v>1731</v>
      </c>
      <c r="H297" t="s">
        <v>200</v>
      </c>
    </row>
    <row r="298" spans="1:8" x14ac:dyDescent="0.45">
      <c r="A298">
        <v>297</v>
      </c>
      <c r="B298" t="s">
        <v>73</v>
      </c>
      <c r="C298" t="s">
        <v>1023</v>
      </c>
      <c r="D298">
        <v>-1523.34</v>
      </c>
      <c r="E298" t="s">
        <v>1035</v>
      </c>
      <c r="F298" t="s">
        <v>1060</v>
      </c>
      <c r="G298">
        <v>1738</v>
      </c>
      <c r="H298" t="s">
        <v>200</v>
      </c>
    </row>
    <row r="299" spans="1:8" x14ac:dyDescent="0.45">
      <c r="A299">
        <v>298</v>
      </c>
      <c r="B299" t="s">
        <v>73</v>
      </c>
      <c r="C299" t="s">
        <v>1026</v>
      </c>
      <c r="D299">
        <v>-2461.4499999999998</v>
      </c>
      <c r="E299" t="s">
        <v>1037</v>
      </c>
      <c r="F299" t="s">
        <v>1060</v>
      </c>
      <c r="G299">
        <v>1742</v>
      </c>
      <c r="H299" t="s">
        <v>200</v>
      </c>
    </row>
    <row r="300" spans="1:8" x14ac:dyDescent="0.45">
      <c r="A300">
        <v>299</v>
      </c>
      <c r="B300" t="s">
        <v>73</v>
      </c>
      <c r="C300" t="s">
        <v>1051</v>
      </c>
      <c r="D300">
        <v>-3739.84</v>
      </c>
      <c r="E300" t="s">
        <v>1052</v>
      </c>
      <c r="F300" t="s">
        <v>1060</v>
      </c>
      <c r="G300">
        <v>1776</v>
      </c>
      <c r="H300" t="s">
        <v>200</v>
      </c>
    </row>
    <row r="301" spans="1:8" x14ac:dyDescent="0.45">
      <c r="A301">
        <v>300</v>
      </c>
      <c r="B301" t="s">
        <v>74</v>
      </c>
      <c r="C301" t="s">
        <v>221</v>
      </c>
      <c r="D301">
        <v>53262.26</v>
      </c>
      <c r="E301" t="s">
        <v>252</v>
      </c>
      <c r="F301" t="s">
        <v>1060</v>
      </c>
      <c r="G301">
        <v>57</v>
      </c>
      <c r="H301" t="s">
        <v>183</v>
      </c>
    </row>
    <row r="302" spans="1:8" x14ac:dyDescent="0.45">
      <c r="A302">
        <v>301</v>
      </c>
      <c r="B302" t="s">
        <v>74</v>
      </c>
      <c r="C302" t="s">
        <v>224</v>
      </c>
      <c r="D302">
        <v>-4061.97</v>
      </c>
      <c r="E302" t="s">
        <v>253</v>
      </c>
      <c r="F302" t="s">
        <v>1060</v>
      </c>
      <c r="G302">
        <v>61</v>
      </c>
      <c r="H302" t="s">
        <v>183</v>
      </c>
    </row>
    <row r="303" spans="1:8" x14ac:dyDescent="0.45">
      <c r="A303">
        <v>302</v>
      </c>
      <c r="B303" t="s">
        <v>74</v>
      </c>
      <c r="C303" t="s">
        <v>227</v>
      </c>
      <c r="D303">
        <v>-23136.3</v>
      </c>
      <c r="E303" t="s">
        <v>254</v>
      </c>
      <c r="F303" t="s">
        <v>1060</v>
      </c>
      <c r="G303">
        <v>65</v>
      </c>
      <c r="H303" t="s">
        <v>183</v>
      </c>
    </row>
    <row r="304" spans="1:8" x14ac:dyDescent="0.45">
      <c r="A304">
        <v>303</v>
      </c>
      <c r="B304" t="s">
        <v>74</v>
      </c>
      <c r="C304" t="s">
        <v>230</v>
      </c>
      <c r="D304">
        <v>-3740</v>
      </c>
      <c r="E304" t="s">
        <v>255</v>
      </c>
      <c r="F304" t="s">
        <v>1060</v>
      </c>
      <c r="G304">
        <v>69</v>
      </c>
      <c r="H304" t="s">
        <v>183</v>
      </c>
    </row>
    <row r="305" spans="1:8" x14ac:dyDescent="0.45">
      <c r="A305">
        <v>304</v>
      </c>
      <c r="B305" t="s">
        <v>74</v>
      </c>
      <c r="C305" t="s">
        <v>233</v>
      </c>
      <c r="D305">
        <v>-1563.7</v>
      </c>
      <c r="E305" t="s">
        <v>256</v>
      </c>
      <c r="F305" t="s">
        <v>1060</v>
      </c>
      <c r="G305">
        <v>71</v>
      </c>
      <c r="H305" t="s">
        <v>183</v>
      </c>
    </row>
    <row r="306" spans="1:8" x14ac:dyDescent="0.45">
      <c r="A306">
        <v>305</v>
      </c>
      <c r="B306" t="s">
        <v>74</v>
      </c>
      <c r="C306" t="s">
        <v>237</v>
      </c>
      <c r="D306">
        <v>-1155</v>
      </c>
      <c r="E306" t="s">
        <v>258</v>
      </c>
      <c r="F306" t="s">
        <v>1060</v>
      </c>
      <c r="G306">
        <v>76</v>
      </c>
      <c r="H306" t="s">
        <v>183</v>
      </c>
    </row>
    <row r="307" spans="1:8" x14ac:dyDescent="0.45">
      <c r="A307">
        <v>306</v>
      </c>
      <c r="B307" t="s">
        <v>74</v>
      </c>
      <c r="C307" t="s">
        <v>268</v>
      </c>
      <c r="D307">
        <v>54225.14</v>
      </c>
      <c r="E307" t="s">
        <v>296</v>
      </c>
      <c r="F307" t="s">
        <v>1060</v>
      </c>
      <c r="G307">
        <v>147</v>
      </c>
      <c r="H307" t="s">
        <v>184</v>
      </c>
    </row>
    <row r="308" spans="1:8" x14ac:dyDescent="0.45">
      <c r="A308">
        <v>307</v>
      </c>
      <c r="B308" t="s">
        <v>74</v>
      </c>
      <c r="C308" t="s">
        <v>270</v>
      </c>
      <c r="D308">
        <v>-4137.03</v>
      </c>
      <c r="E308" t="s">
        <v>297</v>
      </c>
      <c r="F308" t="s">
        <v>1060</v>
      </c>
      <c r="G308">
        <v>151</v>
      </c>
      <c r="H308" t="s">
        <v>184</v>
      </c>
    </row>
    <row r="309" spans="1:8" x14ac:dyDescent="0.45">
      <c r="A309">
        <v>308</v>
      </c>
      <c r="B309" t="s">
        <v>74</v>
      </c>
      <c r="C309" t="s">
        <v>272</v>
      </c>
      <c r="D309">
        <v>-25984.63</v>
      </c>
      <c r="E309" t="s">
        <v>298</v>
      </c>
      <c r="F309" t="s">
        <v>1060</v>
      </c>
      <c r="G309">
        <v>155</v>
      </c>
      <c r="H309" t="s">
        <v>184</v>
      </c>
    </row>
    <row r="310" spans="1:8" x14ac:dyDescent="0.45">
      <c r="A310">
        <v>309</v>
      </c>
      <c r="B310" t="s">
        <v>74</v>
      </c>
      <c r="C310" t="s">
        <v>274</v>
      </c>
      <c r="D310">
        <v>-3758.7</v>
      </c>
      <c r="E310" t="s">
        <v>299</v>
      </c>
      <c r="F310" t="s">
        <v>1060</v>
      </c>
      <c r="G310">
        <v>159</v>
      </c>
      <c r="H310" t="s">
        <v>184</v>
      </c>
    </row>
    <row r="311" spans="1:8" x14ac:dyDescent="0.45">
      <c r="A311">
        <v>310</v>
      </c>
      <c r="B311" t="s">
        <v>74</v>
      </c>
      <c r="C311" t="s">
        <v>276</v>
      </c>
      <c r="D311">
        <v>-1573.71</v>
      </c>
      <c r="E311" t="s">
        <v>300</v>
      </c>
      <c r="F311" t="s">
        <v>1060</v>
      </c>
      <c r="G311">
        <v>161</v>
      </c>
      <c r="H311" t="s">
        <v>184</v>
      </c>
    </row>
    <row r="312" spans="1:8" x14ac:dyDescent="0.45">
      <c r="A312">
        <v>311</v>
      </c>
      <c r="B312" t="s">
        <v>74</v>
      </c>
      <c r="C312" t="s">
        <v>279</v>
      </c>
      <c r="D312">
        <v>-1166.55</v>
      </c>
      <c r="E312" t="s">
        <v>302</v>
      </c>
      <c r="F312" t="s">
        <v>1060</v>
      </c>
      <c r="G312">
        <v>166</v>
      </c>
      <c r="H312" t="s">
        <v>184</v>
      </c>
    </row>
    <row r="313" spans="1:8" x14ac:dyDescent="0.45">
      <c r="A313">
        <v>312</v>
      </c>
      <c r="B313" t="s">
        <v>74</v>
      </c>
      <c r="C313" t="s">
        <v>283</v>
      </c>
      <c r="D313">
        <v>-2131.7800000000002</v>
      </c>
      <c r="E313" t="s">
        <v>304</v>
      </c>
      <c r="F313" t="s">
        <v>1060</v>
      </c>
      <c r="G313">
        <v>170</v>
      </c>
      <c r="H313" t="s">
        <v>184</v>
      </c>
    </row>
    <row r="314" spans="1:8" x14ac:dyDescent="0.45">
      <c r="A314">
        <v>313</v>
      </c>
      <c r="B314" t="s">
        <v>74</v>
      </c>
      <c r="C314" t="s">
        <v>268</v>
      </c>
      <c r="D314">
        <v>-2860</v>
      </c>
      <c r="E314" t="s">
        <v>308</v>
      </c>
      <c r="F314" t="s">
        <v>1060</v>
      </c>
      <c r="G314">
        <v>184</v>
      </c>
      <c r="H314" t="s">
        <v>184</v>
      </c>
    </row>
    <row r="315" spans="1:8" x14ac:dyDescent="0.45">
      <c r="A315">
        <v>314</v>
      </c>
      <c r="B315" t="s">
        <v>74</v>
      </c>
      <c r="C315" t="s">
        <v>315</v>
      </c>
      <c r="D315">
        <v>51082.62</v>
      </c>
      <c r="E315" t="s">
        <v>343</v>
      </c>
      <c r="F315" t="s">
        <v>1060</v>
      </c>
      <c r="G315">
        <v>247</v>
      </c>
      <c r="H315" t="s">
        <v>185</v>
      </c>
    </row>
    <row r="316" spans="1:8" x14ac:dyDescent="0.45">
      <c r="A316">
        <v>315</v>
      </c>
      <c r="B316" t="s">
        <v>74</v>
      </c>
      <c r="C316" t="s">
        <v>317</v>
      </c>
      <c r="D316">
        <v>-4191.5200000000004</v>
      </c>
      <c r="E316" t="s">
        <v>344</v>
      </c>
      <c r="F316" t="s">
        <v>1060</v>
      </c>
      <c r="G316">
        <v>251</v>
      </c>
      <c r="H316" t="s">
        <v>185</v>
      </c>
    </row>
    <row r="317" spans="1:8" x14ac:dyDescent="0.45">
      <c r="A317">
        <v>316</v>
      </c>
      <c r="B317" t="s">
        <v>74</v>
      </c>
      <c r="C317" t="s">
        <v>319</v>
      </c>
      <c r="D317">
        <v>-26293.119999999999</v>
      </c>
      <c r="E317" t="s">
        <v>345</v>
      </c>
      <c r="F317" t="s">
        <v>1060</v>
      </c>
      <c r="G317">
        <v>255</v>
      </c>
      <c r="H317" t="s">
        <v>185</v>
      </c>
    </row>
    <row r="318" spans="1:8" x14ac:dyDescent="0.45">
      <c r="A318">
        <v>317</v>
      </c>
      <c r="B318" t="s">
        <v>74</v>
      </c>
      <c r="C318" t="s">
        <v>321</v>
      </c>
      <c r="D318">
        <v>-3777.4</v>
      </c>
      <c r="E318" t="s">
        <v>346</v>
      </c>
      <c r="F318" t="s">
        <v>1060</v>
      </c>
      <c r="G318">
        <v>259</v>
      </c>
      <c r="H318" t="s">
        <v>185</v>
      </c>
    </row>
    <row r="319" spans="1:8" x14ac:dyDescent="0.45">
      <c r="A319">
        <v>318</v>
      </c>
      <c r="B319" t="s">
        <v>74</v>
      </c>
      <c r="C319" t="s">
        <v>323</v>
      </c>
      <c r="D319">
        <v>-1575.76</v>
      </c>
      <c r="E319" t="s">
        <v>347</v>
      </c>
      <c r="F319" t="s">
        <v>1060</v>
      </c>
      <c r="G319">
        <v>261</v>
      </c>
      <c r="H319" t="s">
        <v>185</v>
      </c>
    </row>
    <row r="320" spans="1:8" x14ac:dyDescent="0.45">
      <c r="A320">
        <v>319</v>
      </c>
      <c r="B320" t="s">
        <v>74</v>
      </c>
      <c r="C320" t="s">
        <v>326</v>
      </c>
      <c r="D320">
        <v>-1178.0999999999999</v>
      </c>
      <c r="E320" t="s">
        <v>349</v>
      </c>
      <c r="F320" t="s">
        <v>1060</v>
      </c>
      <c r="G320">
        <v>266</v>
      </c>
      <c r="H320" t="s">
        <v>185</v>
      </c>
    </row>
    <row r="321" spans="1:8" x14ac:dyDescent="0.45">
      <c r="A321">
        <v>320</v>
      </c>
      <c r="B321" t="s">
        <v>74</v>
      </c>
      <c r="C321" t="s">
        <v>330</v>
      </c>
      <c r="D321">
        <v>-2166.44</v>
      </c>
      <c r="E321" t="s">
        <v>351</v>
      </c>
      <c r="F321" t="s">
        <v>1060</v>
      </c>
      <c r="G321">
        <v>270</v>
      </c>
      <c r="H321" t="s">
        <v>185</v>
      </c>
    </row>
    <row r="322" spans="1:8" x14ac:dyDescent="0.45">
      <c r="A322">
        <v>321</v>
      </c>
      <c r="B322" t="s">
        <v>74</v>
      </c>
      <c r="C322" t="s">
        <v>315</v>
      </c>
      <c r="D322">
        <v>-2888.6</v>
      </c>
      <c r="E322" t="s">
        <v>355</v>
      </c>
      <c r="F322" t="s">
        <v>1060</v>
      </c>
      <c r="G322">
        <v>284</v>
      </c>
      <c r="H322" t="s">
        <v>185</v>
      </c>
    </row>
    <row r="323" spans="1:8" x14ac:dyDescent="0.45">
      <c r="A323">
        <v>322</v>
      </c>
      <c r="B323" t="s">
        <v>74</v>
      </c>
      <c r="C323" t="s">
        <v>361</v>
      </c>
      <c r="D323">
        <v>50745.97</v>
      </c>
      <c r="E323" t="s">
        <v>389</v>
      </c>
      <c r="F323" t="s">
        <v>1060</v>
      </c>
      <c r="G323">
        <v>347</v>
      </c>
      <c r="H323" t="s">
        <v>186</v>
      </c>
    </row>
    <row r="324" spans="1:8" x14ac:dyDescent="0.45">
      <c r="A324">
        <v>323</v>
      </c>
      <c r="B324" t="s">
        <v>74</v>
      </c>
      <c r="C324" t="s">
        <v>363</v>
      </c>
      <c r="D324">
        <v>-4142.18</v>
      </c>
      <c r="E324" t="s">
        <v>390</v>
      </c>
      <c r="F324" t="s">
        <v>1060</v>
      </c>
      <c r="G324">
        <v>351</v>
      </c>
      <c r="H324" t="s">
        <v>186</v>
      </c>
    </row>
    <row r="325" spans="1:8" x14ac:dyDescent="0.45">
      <c r="A325">
        <v>324</v>
      </c>
      <c r="B325" t="s">
        <v>74</v>
      </c>
      <c r="C325" t="s">
        <v>365</v>
      </c>
      <c r="D325">
        <v>-26601.61</v>
      </c>
      <c r="E325" t="s">
        <v>391</v>
      </c>
      <c r="F325" t="s">
        <v>1060</v>
      </c>
      <c r="G325">
        <v>355</v>
      </c>
      <c r="H325" t="s">
        <v>186</v>
      </c>
    </row>
    <row r="326" spans="1:8" x14ac:dyDescent="0.45">
      <c r="A326">
        <v>325</v>
      </c>
      <c r="B326" t="s">
        <v>74</v>
      </c>
      <c r="C326" t="s">
        <v>367</v>
      </c>
      <c r="D326">
        <v>-3796.1</v>
      </c>
      <c r="E326" t="s">
        <v>392</v>
      </c>
      <c r="F326" t="s">
        <v>1060</v>
      </c>
      <c r="G326">
        <v>359</v>
      </c>
      <c r="H326" t="s">
        <v>186</v>
      </c>
    </row>
    <row r="327" spans="1:8" x14ac:dyDescent="0.45">
      <c r="A327">
        <v>326</v>
      </c>
      <c r="B327" t="s">
        <v>74</v>
      </c>
      <c r="C327" t="s">
        <v>369</v>
      </c>
      <c r="D327">
        <v>-1539.18</v>
      </c>
      <c r="E327" t="s">
        <v>393</v>
      </c>
      <c r="F327" t="s">
        <v>1060</v>
      </c>
      <c r="G327">
        <v>361</v>
      </c>
      <c r="H327" t="s">
        <v>186</v>
      </c>
    </row>
    <row r="328" spans="1:8" x14ac:dyDescent="0.45">
      <c r="A328">
        <v>327</v>
      </c>
      <c r="B328" t="s">
        <v>74</v>
      </c>
      <c r="C328" t="s">
        <v>372</v>
      </c>
      <c r="D328">
        <v>-1189.6500000000001</v>
      </c>
      <c r="E328" t="s">
        <v>395</v>
      </c>
      <c r="F328" t="s">
        <v>1060</v>
      </c>
      <c r="G328">
        <v>366</v>
      </c>
      <c r="H328" t="s">
        <v>186</v>
      </c>
    </row>
    <row r="329" spans="1:8" x14ac:dyDescent="0.45">
      <c r="A329">
        <v>328</v>
      </c>
      <c r="B329" t="s">
        <v>74</v>
      </c>
      <c r="C329" t="s">
        <v>376</v>
      </c>
      <c r="D329">
        <v>-2190.3000000000002</v>
      </c>
      <c r="E329" t="s">
        <v>397</v>
      </c>
      <c r="F329" t="s">
        <v>1060</v>
      </c>
      <c r="G329">
        <v>370</v>
      </c>
      <c r="H329" t="s">
        <v>186</v>
      </c>
    </row>
    <row r="330" spans="1:8" x14ac:dyDescent="0.45">
      <c r="A330">
        <v>329</v>
      </c>
      <c r="B330" t="s">
        <v>74</v>
      </c>
      <c r="C330" t="s">
        <v>401</v>
      </c>
      <c r="D330">
        <v>-2917.2</v>
      </c>
      <c r="E330" t="s">
        <v>402</v>
      </c>
      <c r="F330" t="s">
        <v>1060</v>
      </c>
      <c r="G330">
        <v>384</v>
      </c>
      <c r="H330" t="s">
        <v>186</v>
      </c>
    </row>
    <row r="331" spans="1:8" x14ac:dyDescent="0.45">
      <c r="A331">
        <v>330</v>
      </c>
      <c r="B331" t="s">
        <v>74</v>
      </c>
      <c r="C331" t="s">
        <v>408</v>
      </c>
      <c r="D331">
        <v>46097.45</v>
      </c>
      <c r="E331" t="s">
        <v>436</v>
      </c>
      <c r="F331" t="s">
        <v>1060</v>
      </c>
      <c r="G331">
        <v>447</v>
      </c>
      <c r="H331" t="s">
        <v>187</v>
      </c>
    </row>
    <row r="332" spans="1:8" x14ac:dyDescent="0.45">
      <c r="A332">
        <v>331</v>
      </c>
      <c r="B332" t="s">
        <v>74</v>
      </c>
      <c r="C332" t="s">
        <v>410</v>
      </c>
      <c r="D332">
        <v>-3630.42</v>
      </c>
      <c r="E332" t="s">
        <v>437</v>
      </c>
      <c r="F332" t="s">
        <v>1060</v>
      </c>
      <c r="G332">
        <v>451</v>
      </c>
      <c r="H332" t="s">
        <v>187</v>
      </c>
    </row>
    <row r="333" spans="1:8" x14ac:dyDescent="0.45">
      <c r="A333">
        <v>332</v>
      </c>
      <c r="B333" t="s">
        <v>74</v>
      </c>
      <c r="C333" t="s">
        <v>412</v>
      </c>
      <c r="D333">
        <v>-26910.09</v>
      </c>
      <c r="E333" t="s">
        <v>438</v>
      </c>
      <c r="F333" t="s">
        <v>1060</v>
      </c>
      <c r="G333">
        <v>455</v>
      </c>
      <c r="H333" t="s">
        <v>187</v>
      </c>
    </row>
    <row r="334" spans="1:8" x14ac:dyDescent="0.45">
      <c r="A334">
        <v>333</v>
      </c>
      <c r="B334" t="s">
        <v>74</v>
      </c>
      <c r="C334" t="s">
        <v>414</v>
      </c>
      <c r="D334">
        <v>-3814.8</v>
      </c>
      <c r="E334" t="s">
        <v>439</v>
      </c>
      <c r="F334" t="s">
        <v>1060</v>
      </c>
      <c r="G334">
        <v>459</v>
      </c>
      <c r="H334" t="s">
        <v>187</v>
      </c>
    </row>
    <row r="335" spans="1:8" x14ac:dyDescent="0.45">
      <c r="A335">
        <v>334</v>
      </c>
      <c r="B335" t="s">
        <v>74</v>
      </c>
      <c r="C335" t="s">
        <v>416</v>
      </c>
      <c r="D335">
        <v>-1333.56</v>
      </c>
      <c r="E335" t="s">
        <v>440</v>
      </c>
      <c r="F335" t="s">
        <v>1060</v>
      </c>
      <c r="G335">
        <v>461</v>
      </c>
      <c r="H335" t="s">
        <v>187</v>
      </c>
    </row>
    <row r="336" spans="1:8" x14ac:dyDescent="0.45">
      <c r="A336">
        <v>335</v>
      </c>
      <c r="B336" t="s">
        <v>74</v>
      </c>
      <c r="C336" t="s">
        <v>419</v>
      </c>
      <c r="D336">
        <v>-1201.2</v>
      </c>
      <c r="E336" t="s">
        <v>442</v>
      </c>
      <c r="F336" t="s">
        <v>1060</v>
      </c>
      <c r="G336">
        <v>466</v>
      </c>
      <c r="H336" t="s">
        <v>187</v>
      </c>
    </row>
    <row r="337" spans="1:8" x14ac:dyDescent="0.45">
      <c r="A337">
        <v>336</v>
      </c>
      <c r="B337" t="s">
        <v>74</v>
      </c>
      <c r="C337" t="s">
        <v>423</v>
      </c>
      <c r="D337">
        <v>-2160.0100000000002</v>
      </c>
      <c r="E337" t="s">
        <v>444</v>
      </c>
      <c r="F337" t="s">
        <v>1060</v>
      </c>
      <c r="G337">
        <v>470</v>
      </c>
      <c r="H337" t="s">
        <v>187</v>
      </c>
    </row>
    <row r="338" spans="1:8" x14ac:dyDescent="0.45">
      <c r="A338">
        <v>337</v>
      </c>
      <c r="B338" t="s">
        <v>74</v>
      </c>
      <c r="C338" t="s">
        <v>447</v>
      </c>
      <c r="D338">
        <v>-2945.8</v>
      </c>
      <c r="E338" t="s">
        <v>448</v>
      </c>
      <c r="F338" t="s">
        <v>1060</v>
      </c>
      <c r="G338">
        <v>484</v>
      </c>
      <c r="H338" t="s">
        <v>187</v>
      </c>
    </row>
    <row r="339" spans="1:8" x14ac:dyDescent="0.45">
      <c r="A339">
        <v>338</v>
      </c>
      <c r="B339" t="s">
        <v>74</v>
      </c>
      <c r="C339" t="s">
        <v>454</v>
      </c>
      <c r="D339">
        <v>49159.83</v>
      </c>
      <c r="E339" t="s">
        <v>482</v>
      </c>
      <c r="F339" t="s">
        <v>1060</v>
      </c>
      <c r="G339">
        <v>547</v>
      </c>
      <c r="H339" t="s">
        <v>188</v>
      </c>
    </row>
    <row r="340" spans="1:8" x14ac:dyDescent="0.45">
      <c r="A340">
        <v>339</v>
      </c>
      <c r="B340" t="s">
        <v>74</v>
      </c>
      <c r="C340" t="s">
        <v>456</v>
      </c>
      <c r="D340">
        <v>-3903.47</v>
      </c>
      <c r="E340" t="s">
        <v>483</v>
      </c>
      <c r="F340" t="s">
        <v>1060</v>
      </c>
      <c r="G340">
        <v>551</v>
      </c>
      <c r="H340" t="s">
        <v>188</v>
      </c>
    </row>
    <row r="341" spans="1:8" x14ac:dyDescent="0.45">
      <c r="A341">
        <v>340</v>
      </c>
      <c r="B341" t="s">
        <v>74</v>
      </c>
      <c r="C341" t="s">
        <v>458</v>
      </c>
      <c r="D341">
        <v>-27218.57</v>
      </c>
      <c r="E341" t="s">
        <v>484</v>
      </c>
      <c r="F341" t="s">
        <v>1060</v>
      </c>
      <c r="G341">
        <v>555</v>
      </c>
      <c r="H341" t="s">
        <v>188</v>
      </c>
    </row>
    <row r="342" spans="1:8" x14ac:dyDescent="0.45">
      <c r="A342">
        <v>341</v>
      </c>
      <c r="B342" t="s">
        <v>74</v>
      </c>
      <c r="C342" t="s">
        <v>460</v>
      </c>
      <c r="D342">
        <v>-3833.5</v>
      </c>
      <c r="E342" t="s">
        <v>485</v>
      </c>
      <c r="F342" t="s">
        <v>1060</v>
      </c>
      <c r="G342">
        <v>559</v>
      </c>
      <c r="H342" t="s">
        <v>188</v>
      </c>
    </row>
    <row r="343" spans="1:8" x14ac:dyDescent="0.45">
      <c r="A343">
        <v>342</v>
      </c>
      <c r="B343" t="s">
        <v>74</v>
      </c>
      <c r="C343" t="s">
        <v>462</v>
      </c>
      <c r="D343">
        <v>-1417.63</v>
      </c>
      <c r="E343" t="s">
        <v>486</v>
      </c>
      <c r="F343" t="s">
        <v>1060</v>
      </c>
      <c r="G343">
        <v>561</v>
      </c>
      <c r="H343" t="s">
        <v>188</v>
      </c>
    </row>
    <row r="344" spans="1:8" x14ac:dyDescent="0.45">
      <c r="A344">
        <v>343</v>
      </c>
      <c r="B344" t="s">
        <v>74</v>
      </c>
      <c r="C344" t="s">
        <v>465</v>
      </c>
      <c r="D344">
        <v>-1212.75</v>
      </c>
      <c r="E344" t="s">
        <v>488</v>
      </c>
      <c r="F344" t="s">
        <v>1060</v>
      </c>
      <c r="G344">
        <v>566</v>
      </c>
      <c r="H344" t="s">
        <v>188</v>
      </c>
    </row>
    <row r="345" spans="1:8" x14ac:dyDescent="0.45">
      <c r="A345">
        <v>344</v>
      </c>
      <c r="B345" t="s">
        <v>74</v>
      </c>
      <c r="C345" t="s">
        <v>469</v>
      </c>
      <c r="D345">
        <v>-1889.28</v>
      </c>
      <c r="E345" t="s">
        <v>490</v>
      </c>
      <c r="F345" t="s">
        <v>1060</v>
      </c>
      <c r="G345">
        <v>570</v>
      </c>
      <c r="H345" t="s">
        <v>188</v>
      </c>
    </row>
    <row r="346" spans="1:8" x14ac:dyDescent="0.45">
      <c r="A346">
        <v>345</v>
      </c>
      <c r="B346" t="s">
        <v>74</v>
      </c>
      <c r="C346" t="s">
        <v>494</v>
      </c>
      <c r="D346">
        <v>-2974.4</v>
      </c>
      <c r="E346" t="s">
        <v>495</v>
      </c>
      <c r="F346" t="s">
        <v>1060</v>
      </c>
      <c r="G346">
        <v>584</v>
      </c>
      <c r="H346" t="s">
        <v>188</v>
      </c>
    </row>
    <row r="347" spans="1:8" x14ac:dyDescent="0.45">
      <c r="A347">
        <v>346</v>
      </c>
      <c r="B347" t="s">
        <v>74</v>
      </c>
      <c r="C347" t="s">
        <v>501</v>
      </c>
      <c r="D347">
        <v>48242.58</v>
      </c>
      <c r="E347" t="s">
        <v>529</v>
      </c>
      <c r="F347" t="s">
        <v>1060</v>
      </c>
      <c r="G347">
        <v>647</v>
      </c>
      <c r="H347" t="s">
        <v>189</v>
      </c>
    </row>
    <row r="348" spans="1:8" x14ac:dyDescent="0.45">
      <c r="A348">
        <v>347</v>
      </c>
      <c r="B348" t="s">
        <v>74</v>
      </c>
      <c r="C348" t="s">
        <v>503</v>
      </c>
      <c r="D348">
        <v>-3890.38</v>
      </c>
      <c r="E348" t="s">
        <v>530</v>
      </c>
      <c r="F348" t="s">
        <v>1060</v>
      </c>
      <c r="G348">
        <v>651</v>
      </c>
      <c r="H348" t="s">
        <v>189</v>
      </c>
    </row>
    <row r="349" spans="1:8" x14ac:dyDescent="0.45">
      <c r="A349">
        <v>348</v>
      </c>
      <c r="B349" t="s">
        <v>74</v>
      </c>
      <c r="C349" t="s">
        <v>505</v>
      </c>
      <c r="D349">
        <v>-27527.05</v>
      </c>
      <c r="E349" t="s">
        <v>531</v>
      </c>
      <c r="F349" t="s">
        <v>1060</v>
      </c>
      <c r="G349">
        <v>655</v>
      </c>
      <c r="H349" t="s">
        <v>189</v>
      </c>
    </row>
    <row r="350" spans="1:8" x14ac:dyDescent="0.45">
      <c r="A350">
        <v>349</v>
      </c>
      <c r="B350" t="s">
        <v>74</v>
      </c>
      <c r="C350" t="s">
        <v>507</v>
      </c>
      <c r="D350">
        <v>-3852.2</v>
      </c>
      <c r="E350" t="s">
        <v>532</v>
      </c>
      <c r="F350" t="s">
        <v>1060</v>
      </c>
      <c r="G350">
        <v>659</v>
      </c>
      <c r="H350" t="s">
        <v>189</v>
      </c>
    </row>
    <row r="351" spans="1:8" x14ac:dyDescent="0.45">
      <c r="A351">
        <v>350</v>
      </c>
      <c r="B351" t="s">
        <v>74</v>
      </c>
      <c r="C351" t="s">
        <v>509</v>
      </c>
      <c r="D351">
        <v>-1397.06</v>
      </c>
      <c r="E351" t="s">
        <v>533</v>
      </c>
      <c r="F351" t="s">
        <v>1060</v>
      </c>
      <c r="G351">
        <v>661</v>
      </c>
      <c r="H351" t="s">
        <v>189</v>
      </c>
    </row>
    <row r="352" spans="1:8" x14ac:dyDescent="0.45">
      <c r="A352">
        <v>351</v>
      </c>
      <c r="B352" t="s">
        <v>74</v>
      </c>
      <c r="C352" t="s">
        <v>512</v>
      </c>
      <c r="D352">
        <v>-1224.3</v>
      </c>
      <c r="E352" t="s">
        <v>535</v>
      </c>
      <c r="F352" t="s">
        <v>1060</v>
      </c>
      <c r="G352">
        <v>666</v>
      </c>
      <c r="H352" t="s">
        <v>189</v>
      </c>
    </row>
    <row r="353" spans="1:8" x14ac:dyDescent="0.45">
      <c r="A353">
        <v>352</v>
      </c>
      <c r="B353" t="s">
        <v>74</v>
      </c>
      <c r="C353" t="s">
        <v>516</v>
      </c>
      <c r="D353">
        <v>-2027.33</v>
      </c>
      <c r="E353" t="s">
        <v>537</v>
      </c>
      <c r="F353" t="s">
        <v>1060</v>
      </c>
      <c r="G353">
        <v>670</v>
      </c>
      <c r="H353" t="s">
        <v>189</v>
      </c>
    </row>
    <row r="354" spans="1:8" x14ac:dyDescent="0.45">
      <c r="A354">
        <v>353</v>
      </c>
      <c r="B354" t="s">
        <v>74</v>
      </c>
      <c r="C354" t="s">
        <v>541</v>
      </c>
      <c r="D354">
        <v>-3003</v>
      </c>
      <c r="E354" t="s">
        <v>542</v>
      </c>
      <c r="F354" t="s">
        <v>1060</v>
      </c>
      <c r="G354">
        <v>684</v>
      </c>
      <c r="H354" t="s">
        <v>189</v>
      </c>
    </row>
    <row r="355" spans="1:8" x14ac:dyDescent="0.45">
      <c r="A355">
        <v>354</v>
      </c>
      <c r="B355" t="s">
        <v>74</v>
      </c>
      <c r="C355" t="s">
        <v>548</v>
      </c>
      <c r="D355">
        <v>47486.3</v>
      </c>
      <c r="E355" t="s">
        <v>576</v>
      </c>
      <c r="F355" t="s">
        <v>1060</v>
      </c>
      <c r="G355">
        <v>747</v>
      </c>
      <c r="H355" t="s">
        <v>190</v>
      </c>
    </row>
    <row r="356" spans="1:8" x14ac:dyDescent="0.45">
      <c r="A356">
        <v>355</v>
      </c>
      <c r="B356" t="s">
        <v>74</v>
      </c>
      <c r="C356" t="s">
        <v>550</v>
      </c>
      <c r="D356">
        <v>-3661.62</v>
      </c>
      <c r="E356" t="s">
        <v>577</v>
      </c>
      <c r="F356" t="s">
        <v>1060</v>
      </c>
      <c r="G356">
        <v>751</v>
      </c>
      <c r="H356" t="s">
        <v>190</v>
      </c>
    </row>
    <row r="357" spans="1:8" x14ac:dyDescent="0.45">
      <c r="A357">
        <v>356</v>
      </c>
      <c r="B357" t="s">
        <v>74</v>
      </c>
      <c r="C357" t="s">
        <v>552</v>
      </c>
      <c r="D357">
        <v>-27835.54</v>
      </c>
      <c r="E357" t="s">
        <v>578</v>
      </c>
      <c r="F357" t="s">
        <v>1060</v>
      </c>
      <c r="G357">
        <v>755</v>
      </c>
      <c r="H357" t="s">
        <v>190</v>
      </c>
    </row>
    <row r="358" spans="1:8" x14ac:dyDescent="0.45">
      <c r="A358">
        <v>357</v>
      </c>
      <c r="B358" t="s">
        <v>74</v>
      </c>
      <c r="C358" t="s">
        <v>554</v>
      </c>
      <c r="D358">
        <v>-3870.9</v>
      </c>
      <c r="E358" t="s">
        <v>579</v>
      </c>
      <c r="F358" t="s">
        <v>1060</v>
      </c>
      <c r="G358">
        <v>759</v>
      </c>
      <c r="H358" t="s">
        <v>190</v>
      </c>
    </row>
    <row r="359" spans="1:8" x14ac:dyDescent="0.45">
      <c r="A359">
        <v>358</v>
      </c>
      <c r="B359" t="s">
        <v>74</v>
      </c>
      <c r="C359" t="s">
        <v>556</v>
      </c>
      <c r="D359">
        <v>-1300.3499999999999</v>
      </c>
      <c r="E359" t="s">
        <v>580</v>
      </c>
      <c r="F359" t="s">
        <v>1060</v>
      </c>
      <c r="G359">
        <v>761</v>
      </c>
      <c r="H359" t="s">
        <v>190</v>
      </c>
    </row>
    <row r="360" spans="1:8" x14ac:dyDescent="0.45">
      <c r="A360">
        <v>359</v>
      </c>
      <c r="B360" t="s">
        <v>74</v>
      </c>
      <c r="C360" t="s">
        <v>559</v>
      </c>
      <c r="D360">
        <v>-1235.8499999999999</v>
      </c>
      <c r="E360" t="s">
        <v>582</v>
      </c>
      <c r="F360" t="s">
        <v>1060</v>
      </c>
      <c r="G360">
        <v>766</v>
      </c>
      <c r="H360" t="s">
        <v>190</v>
      </c>
    </row>
    <row r="361" spans="1:8" x14ac:dyDescent="0.45">
      <c r="A361">
        <v>360</v>
      </c>
      <c r="B361" t="s">
        <v>74</v>
      </c>
      <c r="C361" t="s">
        <v>563</v>
      </c>
      <c r="D361">
        <v>-2016.56</v>
      </c>
      <c r="E361" t="s">
        <v>584</v>
      </c>
      <c r="F361" t="s">
        <v>1060</v>
      </c>
      <c r="G361">
        <v>770</v>
      </c>
      <c r="H361" t="s">
        <v>190</v>
      </c>
    </row>
    <row r="362" spans="1:8" x14ac:dyDescent="0.45">
      <c r="A362">
        <v>361</v>
      </c>
      <c r="B362" t="s">
        <v>74</v>
      </c>
      <c r="C362" t="s">
        <v>548</v>
      </c>
      <c r="D362">
        <v>-3031.6</v>
      </c>
      <c r="E362" t="s">
        <v>588</v>
      </c>
      <c r="F362" t="s">
        <v>1060</v>
      </c>
      <c r="G362">
        <v>784</v>
      </c>
      <c r="H362" t="s">
        <v>190</v>
      </c>
    </row>
    <row r="363" spans="1:8" x14ac:dyDescent="0.45">
      <c r="A363">
        <v>362</v>
      </c>
      <c r="B363" t="s">
        <v>74</v>
      </c>
      <c r="C363" t="s">
        <v>594</v>
      </c>
      <c r="D363">
        <v>48323.14</v>
      </c>
      <c r="E363" t="s">
        <v>621</v>
      </c>
      <c r="F363" t="s">
        <v>1060</v>
      </c>
      <c r="G363">
        <v>847</v>
      </c>
      <c r="H363" t="s">
        <v>191</v>
      </c>
    </row>
    <row r="364" spans="1:8" x14ac:dyDescent="0.45">
      <c r="A364">
        <v>363</v>
      </c>
      <c r="B364" t="s">
        <v>74</v>
      </c>
      <c r="C364" t="s">
        <v>596</v>
      </c>
      <c r="D364">
        <v>-3827.82</v>
      </c>
      <c r="E364" t="s">
        <v>622</v>
      </c>
      <c r="F364" t="s">
        <v>1060</v>
      </c>
      <c r="G364">
        <v>851</v>
      </c>
      <c r="H364" t="s">
        <v>191</v>
      </c>
    </row>
    <row r="365" spans="1:8" x14ac:dyDescent="0.45">
      <c r="A365">
        <v>364</v>
      </c>
      <c r="B365" t="s">
        <v>74</v>
      </c>
      <c r="C365" t="s">
        <v>598</v>
      </c>
      <c r="D365">
        <v>-28144.02</v>
      </c>
      <c r="E365" t="s">
        <v>623</v>
      </c>
      <c r="F365" t="s">
        <v>1060</v>
      </c>
      <c r="G365">
        <v>855</v>
      </c>
      <c r="H365" t="s">
        <v>191</v>
      </c>
    </row>
    <row r="366" spans="1:8" x14ac:dyDescent="0.45">
      <c r="A366">
        <v>365</v>
      </c>
      <c r="B366" t="s">
        <v>74</v>
      </c>
      <c r="C366" t="s">
        <v>600</v>
      </c>
      <c r="D366">
        <v>-3889.6</v>
      </c>
      <c r="E366" t="s">
        <v>624</v>
      </c>
      <c r="F366" t="s">
        <v>1060</v>
      </c>
      <c r="G366">
        <v>859</v>
      </c>
      <c r="H366" t="s">
        <v>191</v>
      </c>
    </row>
    <row r="367" spans="1:8" x14ac:dyDescent="0.45">
      <c r="A367">
        <v>366</v>
      </c>
      <c r="B367" t="s">
        <v>74</v>
      </c>
      <c r="C367" t="s">
        <v>602</v>
      </c>
      <c r="D367">
        <v>-1344.5</v>
      </c>
      <c r="E367" t="s">
        <v>625</v>
      </c>
      <c r="F367" t="s">
        <v>1060</v>
      </c>
      <c r="G367">
        <v>861</v>
      </c>
      <c r="H367" t="s">
        <v>191</v>
      </c>
    </row>
    <row r="368" spans="1:8" x14ac:dyDescent="0.45">
      <c r="A368">
        <v>367</v>
      </c>
      <c r="B368" t="s">
        <v>74</v>
      </c>
      <c r="C368" t="s">
        <v>605</v>
      </c>
      <c r="D368">
        <v>-1247.4000000000001</v>
      </c>
      <c r="E368" t="s">
        <v>627</v>
      </c>
      <c r="F368" t="s">
        <v>1060</v>
      </c>
      <c r="G368">
        <v>866</v>
      </c>
      <c r="H368" t="s">
        <v>191</v>
      </c>
    </row>
    <row r="369" spans="1:8" x14ac:dyDescent="0.45">
      <c r="A369">
        <v>368</v>
      </c>
      <c r="B369" t="s">
        <v>74</v>
      </c>
      <c r="C369" t="s">
        <v>608</v>
      </c>
      <c r="D369">
        <v>-1894.35</v>
      </c>
      <c r="E369" t="s">
        <v>629</v>
      </c>
      <c r="F369" t="s">
        <v>1060</v>
      </c>
      <c r="G369">
        <v>870</v>
      </c>
      <c r="H369" t="s">
        <v>191</v>
      </c>
    </row>
    <row r="370" spans="1:8" x14ac:dyDescent="0.45">
      <c r="A370">
        <v>369</v>
      </c>
      <c r="B370" t="s">
        <v>74</v>
      </c>
      <c r="C370" t="s">
        <v>633</v>
      </c>
      <c r="D370">
        <v>-3060.2</v>
      </c>
      <c r="E370" t="s">
        <v>634</v>
      </c>
      <c r="F370" t="s">
        <v>1060</v>
      </c>
      <c r="G370">
        <v>884</v>
      </c>
      <c r="H370" t="s">
        <v>191</v>
      </c>
    </row>
    <row r="371" spans="1:8" x14ac:dyDescent="0.45">
      <c r="A371">
        <v>370</v>
      </c>
      <c r="B371" t="s">
        <v>74</v>
      </c>
      <c r="C371" t="s">
        <v>640</v>
      </c>
      <c r="D371">
        <v>55751.96</v>
      </c>
      <c r="E371" t="s">
        <v>668</v>
      </c>
      <c r="F371" t="s">
        <v>1060</v>
      </c>
      <c r="G371">
        <v>947</v>
      </c>
      <c r="H371" t="s">
        <v>192</v>
      </c>
    </row>
    <row r="372" spans="1:8" x14ac:dyDescent="0.45">
      <c r="A372">
        <v>371</v>
      </c>
      <c r="B372" t="s">
        <v>74</v>
      </c>
      <c r="C372" t="s">
        <v>642</v>
      </c>
      <c r="D372">
        <v>-4219.17</v>
      </c>
      <c r="E372" t="s">
        <v>669</v>
      </c>
      <c r="F372" t="s">
        <v>1060</v>
      </c>
      <c r="G372">
        <v>951</v>
      </c>
      <c r="H372" t="s">
        <v>192</v>
      </c>
    </row>
    <row r="373" spans="1:8" x14ac:dyDescent="0.45">
      <c r="A373">
        <v>372</v>
      </c>
      <c r="B373" t="s">
        <v>74</v>
      </c>
      <c r="C373" t="s">
        <v>644</v>
      </c>
      <c r="D373">
        <v>-28452.51</v>
      </c>
      <c r="E373" t="s">
        <v>670</v>
      </c>
      <c r="F373" t="s">
        <v>1060</v>
      </c>
      <c r="G373">
        <v>955</v>
      </c>
      <c r="H373" t="s">
        <v>192</v>
      </c>
    </row>
    <row r="374" spans="1:8" x14ac:dyDescent="0.45">
      <c r="A374">
        <v>373</v>
      </c>
      <c r="B374" t="s">
        <v>74</v>
      </c>
      <c r="C374" t="s">
        <v>646</v>
      </c>
      <c r="D374">
        <v>-3908.3</v>
      </c>
      <c r="E374" t="s">
        <v>671</v>
      </c>
      <c r="F374" t="s">
        <v>1060</v>
      </c>
      <c r="G374">
        <v>959</v>
      </c>
      <c r="H374" t="s">
        <v>192</v>
      </c>
    </row>
    <row r="375" spans="1:8" x14ac:dyDescent="0.45">
      <c r="A375">
        <v>374</v>
      </c>
      <c r="B375" t="s">
        <v>74</v>
      </c>
      <c r="C375" t="s">
        <v>648</v>
      </c>
      <c r="D375">
        <v>-1465.9</v>
      </c>
      <c r="E375" t="s">
        <v>672</v>
      </c>
      <c r="F375" t="s">
        <v>1060</v>
      </c>
      <c r="G375">
        <v>961</v>
      </c>
      <c r="H375" t="s">
        <v>192</v>
      </c>
    </row>
    <row r="376" spans="1:8" x14ac:dyDescent="0.45">
      <c r="A376">
        <v>375</v>
      </c>
      <c r="B376" t="s">
        <v>74</v>
      </c>
      <c r="C376" t="s">
        <v>651</v>
      </c>
      <c r="D376">
        <v>-1258.95</v>
      </c>
      <c r="E376" t="s">
        <v>674</v>
      </c>
      <c r="F376" t="s">
        <v>1060</v>
      </c>
      <c r="G376">
        <v>966</v>
      </c>
      <c r="H376" t="s">
        <v>192</v>
      </c>
    </row>
    <row r="377" spans="1:8" x14ac:dyDescent="0.45">
      <c r="A377">
        <v>376</v>
      </c>
      <c r="B377" t="s">
        <v>74</v>
      </c>
      <c r="C377" t="s">
        <v>655</v>
      </c>
      <c r="D377">
        <v>-1976.61</v>
      </c>
      <c r="E377" t="s">
        <v>676</v>
      </c>
      <c r="F377" t="s">
        <v>1060</v>
      </c>
      <c r="G377">
        <v>970</v>
      </c>
      <c r="H377" t="s">
        <v>192</v>
      </c>
    </row>
    <row r="378" spans="1:8" x14ac:dyDescent="0.45">
      <c r="A378">
        <v>377</v>
      </c>
      <c r="B378" t="s">
        <v>74</v>
      </c>
      <c r="C378" t="s">
        <v>680</v>
      </c>
      <c r="D378">
        <v>-3088.8</v>
      </c>
      <c r="E378" t="s">
        <v>681</v>
      </c>
      <c r="F378" t="s">
        <v>1060</v>
      </c>
      <c r="G378">
        <v>984</v>
      </c>
      <c r="H378" t="s">
        <v>192</v>
      </c>
    </row>
    <row r="379" spans="1:8" x14ac:dyDescent="0.45">
      <c r="A379">
        <v>378</v>
      </c>
      <c r="B379" t="s">
        <v>74</v>
      </c>
      <c r="C379" t="s">
        <v>687</v>
      </c>
      <c r="D379">
        <v>53513.71</v>
      </c>
      <c r="E379" t="s">
        <v>715</v>
      </c>
      <c r="F379" t="s">
        <v>1060</v>
      </c>
      <c r="G379">
        <v>1047</v>
      </c>
      <c r="H379" t="s">
        <v>193</v>
      </c>
    </row>
    <row r="380" spans="1:8" x14ac:dyDescent="0.45">
      <c r="A380">
        <v>379</v>
      </c>
      <c r="B380" t="s">
        <v>74</v>
      </c>
      <c r="C380" t="s">
        <v>689</v>
      </c>
      <c r="D380">
        <v>-4049.41</v>
      </c>
      <c r="E380" t="s">
        <v>716</v>
      </c>
      <c r="F380" t="s">
        <v>1060</v>
      </c>
      <c r="G380">
        <v>1051</v>
      </c>
      <c r="H380" t="s">
        <v>193</v>
      </c>
    </row>
    <row r="381" spans="1:8" x14ac:dyDescent="0.45">
      <c r="A381">
        <v>380</v>
      </c>
      <c r="B381" t="s">
        <v>74</v>
      </c>
      <c r="C381" t="s">
        <v>691</v>
      </c>
      <c r="D381">
        <v>-28761</v>
      </c>
      <c r="E381" t="s">
        <v>717</v>
      </c>
      <c r="F381" t="s">
        <v>1060</v>
      </c>
      <c r="G381">
        <v>1055</v>
      </c>
      <c r="H381" t="s">
        <v>193</v>
      </c>
    </row>
    <row r="382" spans="1:8" x14ac:dyDescent="0.45">
      <c r="A382">
        <v>381</v>
      </c>
      <c r="B382" t="s">
        <v>74</v>
      </c>
      <c r="C382" t="s">
        <v>693</v>
      </c>
      <c r="D382">
        <v>-3927</v>
      </c>
      <c r="E382" t="s">
        <v>718</v>
      </c>
      <c r="F382" t="s">
        <v>1060</v>
      </c>
      <c r="G382">
        <v>1059</v>
      </c>
      <c r="H382" t="s">
        <v>193</v>
      </c>
    </row>
    <row r="383" spans="1:8" x14ac:dyDescent="0.45">
      <c r="A383">
        <v>382</v>
      </c>
      <c r="B383" t="s">
        <v>74</v>
      </c>
      <c r="C383" t="s">
        <v>695</v>
      </c>
      <c r="D383">
        <v>-1391.85</v>
      </c>
      <c r="E383" t="s">
        <v>719</v>
      </c>
      <c r="F383" t="s">
        <v>1060</v>
      </c>
      <c r="G383">
        <v>1061</v>
      </c>
      <c r="H383" t="s">
        <v>193</v>
      </c>
    </row>
    <row r="384" spans="1:8" x14ac:dyDescent="0.45">
      <c r="A384">
        <v>383</v>
      </c>
      <c r="B384" t="s">
        <v>74</v>
      </c>
      <c r="C384" t="s">
        <v>698</v>
      </c>
      <c r="D384">
        <v>-1270.5</v>
      </c>
      <c r="E384" t="s">
        <v>721</v>
      </c>
      <c r="F384" t="s">
        <v>1060</v>
      </c>
      <c r="G384">
        <v>1066</v>
      </c>
      <c r="H384" t="s">
        <v>193</v>
      </c>
    </row>
    <row r="385" spans="1:8" x14ac:dyDescent="0.45">
      <c r="A385">
        <v>384</v>
      </c>
      <c r="B385" t="s">
        <v>74</v>
      </c>
      <c r="C385" t="s">
        <v>702</v>
      </c>
      <c r="D385">
        <v>-2174.6999999999998</v>
      </c>
      <c r="E385" t="s">
        <v>723</v>
      </c>
      <c r="F385" t="s">
        <v>1060</v>
      </c>
      <c r="G385">
        <v>1070</v>
      </c>
      <c r="H385" t="s">
        <v>193</v>
      </c>
    </row>
    <row r="386" spans="1:8" x14ac:dyDescent="0.45">
      <c r="A386">
        <v>385</v>
      </c>
      <c r="B386" t="s">
        <v>74</v>
      </c>
      <c r="C386" t="s">
        <v>687</v>
      </c>
      <c r="D386">
        <v>-3117.4</v>
      </c>
      <c r="E386" t="s">
        <v>727</v>
      </c>
      <c r="F386" t="s">
        <v>1060</v>
      </c>
      <c r="G386">
        <v>1084</v>
      </c>
      <c r="H386" t="s">
        <v>193</v>
      </c>
    </row>
    <row r="387" spans="1:8" x14ac:dyDescent="0.45">
      <c r="A387">
        <v>386</v>
      </c>
      <c r="B387" t="s">
        <v>74</v>
      </c>
      <c r="C387" t="s">
        <v>733</v>
      </c>
      <c r="D387">
        <v>52206.39</v>
      </c>
      <c r="E387" t="s">
        <v>761</v>
      </c>
      <c r="F387" t="s">
        <v>1060</v>
      </c>
      <c r="G387">
        <v>1147</v>
      </c>
      <c r="H387" t="s">
        <v>194</v>
      </c>
    </row>
    <row r="388" spans="1:8" x14ac:dyDescent="0.45">
      <c r="A388">
        <v>387</v>
      </c>
      <c r="B388" t="s">
        <v>74</v>
      </c>
      <c r="C388" t="s">
        <v>735</v>
      </c>
      <c r="D388">
        <v>-4103.76</v>
      </c>
      <c r="E388" t="s">
        <v>762</v>
      </c>
      <c r="F388" t="s">
        <v>1060</v>
      </c>
      <c r="G388">
        <v>1151</v>
      </c>
      <c r="H388" t="s">
        <v>194</v>
      </c>
    </row>
    <row r="389" spans="1:8" x14ac:dyDescent="0.45">
      <c r="A389">
        <v>388</v>
      </c>
      <c r="B389" t="s">
        <v>74</v>
      </c>
      <c r="C389" t="s">
        <v>737</v>
      </c>
      <c r="D389">
        <v>-29069.47</v>
      </c>
      <c r="E389" t="s">
        <v>763</v>
      </c>
      <c r="F389" t="s">
        <v>1060</v>
      </c>
      <c r="G389">
        <v>1155</v>
      </c>
      <c r="H389" t="s">
        <v>194</v>
      </c>
    </row>
    <row r="390" spans="1:8" x14ac:dyDescent="0.45">
      <c r="A390">
        <v>389</v>
      </c>
      <c r="B390" t="s">
        <v>74</v>
      </c>
      <c r="C390" t="s">
        <v>739</v>
      </c>
      <c r="D390">
        <v>-3945.7</v>
      </c>
      <c r="E390" t="s">
        <v>764</v>
      </c>
      <c r="F390" t="s">
        <v>1060</v>
      </c>
      <c r="G390">
        <v>1159</v>
      </c>
      <c r="H390" t="s">
        <v>194</v>
      </c>
    </row>
    <row r="391" spans="1:8" x14ac:dyDescent="0.45">
      <c r="A391">
        <v>390</v>
      </c>
      <c r="B391" t="s">
        <v>74</v>
      </c>
      <c r="C391" t="s">
        <v>741</v>
      </c>
      <c r="D391">
        <v>-1395.58</v>
      </c>
      <c r="E391" t="s">
        <v>765</v>
      </c>
      <c r="F391" t="s">
        <v>1060</v>
      </c>
      <c r="G391">
        <v>1161</v>
      </c>
      <c r="H391" t="s">
        <v>194</v>
      </c>
    </row>
    <row r="392" spans="1:8" x14ac:dyDescent="0.45">
      <c r="A392">
        <v>391</v>
      </c>
      <c r="B392" t="s">
        <v>74</v>
      </c>
      <c r="C392" t="s">
        <v>744</v>
      </c>
      <c r="D392">
        <v>-1282.05</v>
      </c>
      <c r="E392" t="s">
        <v>767</v>
      </c>
      <c r="F392" t="s">
        <v>1060</v>
      </c>
      <c r="G392">
        <v>1166</v>
      </c>
      <c r="H392" t="s">
        <v>194</v>
      </c>
    </row>
    <row r="393" spans="1:8" x14ac:dyDescent="0.45">
      <c r="A393">
        <v>392</v>
      </c>
      <c r="B393" t="s">
        <v>74</v>
      </c>
      <c r="C393" t="s">
        <v>748</v>
      </c>
      <c r="D393">
        <v>-2083.42</v>
      </c>
      <c r="E393" t="s">
        <v>769</v>
      </c>
      <c r="F393" t="s">
        <v>1060</v>
      </c>
      <c r="G393">
        <v>1170</v>
      </c>
      <c r="H393" t="s">
        <v>194</v>
      </c>
    </row>
    <row r="394" spans="1:8" x14ac:dyDescent="0.45">
      <c r="A394">
        <v>393</v>
      </c>
      <c r="B394" t="s">
        <v>74</v>
      </c>
      <c r="C394" t="s">
        <v>773</v>
      </c>
      <c r="D394">
        <v>-3146</v>
      </c>
      <c r="E394" t="s">
        <v>774</v>
      </c>
      <c r="F394" t="s">
        <v>1060</v>
      </c>
      <c r="G394">
        <v>1184</v>
      </c>
      <c r="H394" t="s">
        <v>194</v>
      </c>
    </row>
    <row r="395" spans="1:8" x14ac:dyDescent="0.45">
      <c r="A395">
        <v>394</v>
      </c>
      <c r="B395" t="s">
        <v>74</v>
      </c>
      <c r="C395" t="s">
        <v>780</v>
      </c>
      <c r="D395">
        <v>54811.74</v>
      </c>
      <c r="E395" t="s">
        <v>808</v>
      </c>
      <c r="F395" t="s">
        <v>1060</v>
      </c>
      <c r="G395">
        <v>1247</v>
      </c>
      <c r="H395" t="s">
        <v>195</v>
      </c>
    </row>
    <row r="396" spans="1:8" x14ac:dyDescent="0.45">
      <c r="A396">
        <v>395</v>
      </c>
      <c r="B396" t="s">
        <v>74</v>
      </c>
      <c r="C396" t="s">
        <v>782</v>
      </c>
      <c r="D396">
        <v>-4470.71</v>
      </c>
      <c r="E396" t="s">
        <v>809</v>
      </c>
      <c r="F396" t="s">
        <v>1060</v>
      </c>
      <c r="G396">
        <v>1251</v>
      </c>
      <c r="H396" t="s">
        <v>195</v>
      </c>
    </row>
    <row r="397" spans="1:8" x14ac:dyDescent="0.45">
      <c r="A397">
        <v>396</v>
      </c>
      <c r="B397" t="s">
        <v>74</v>
      </c>
      <c r="C397" t="s">
        <v>784</v>
      </c>
      <c r="D397">
        <v>-29377.96</v>
      </c>
      <c r="E397" t="s">
        <v>810</v>
      </c>
      <c r="F397" t="s">
        <v>1060</v>
      </c>
      <c r="G397">
        <v>1255</v>
      </c>
      <c r="H397" t="s">
        <v>195</v>
      </c>
    </row>
    <row r="398" spans="1:8" x14ac:dyDescent="0.45">
      <c r="A398">
        <v>397</v>
      </c>
      <c r="B398" t="s">
        <v>74</v>
      </c>
      <c r="C398" t="s">
        <v>786</v>
      </c>
      <c r="D398">
        <v>-3964.4</v>
      </c>
      <c r="E398" t="s">
        <v>811</v>
      </c>
      <c r="F398" t="s">
        <v>1060</v>
      </c>
      <c r="G398">
        <v>1259</v>
      </c>
      <c r="H398" t="s">
        <v>195</v>
      </c>
    </row>
    <row r="399" spans="1:8" x14ac:dyDescent="0.45">
      <c r="A399">
        <v>398</v>
      </c>
      <c r="B399" t="s">
        <v>74</v>
      </c>
      <c r="C399" t="s">
        <v>788</v>
      </c>
      <c r="D399">
        <v>-1504.42</v>
      </c>
      <c r="E399" t="s">
        <v>812</v>
      </c>
      <c r="F399" t="s">
        <v>1060</v>
      </c>
      <c r="G399">
        <v>1261</v>
      </c>
      <c r="H399" t="s">
        <v>195</v>
      </c>
    </row>
    <row r="400" spans="1:8" x14ac:dyDescent="0.45">
      <c r="A400">
        <v>399</v>
      </c>
      <c r="B400" t="s">
        <v>74</v>
      </c>
      <c r="C400" t="s">
        <v>791</v>
      </c>
      <c r="D400">
        <v>-1293.5999999999999</v>
      </c>
      <c r="E400" t="s">
        <v>814</v>
      </c>
      <c r="F400" t="s">
        <v>1060</v>
      </c>
      <c r="G400">
        <v>1266</v>
      </c>
      <c r="H400" t="s">
        <v>195</v>
      </c>
    </row>
    <row r="401" spans="1:8" x14ac:dyDescent="0.45">
      <c r="A401">
        <v>400</v>
      </c>
      <c r="B401" t="s">
        <v>74</v>
      </c>
      <c r="C401" t="s">
        <v>795</v>
      </c>
      <c r="D401">
        <v>-2107.64</v>
      </c>
      <c r="E401" t="s">
        <v>816</v>
      </c>
      <c r="F401" t="s">
        <v>1060</v>
      </c>
      <c r="G401">
        <v>1270</v>
      </c>
      <c r="H401" t="s">
        <v>195</v>
      </c>
    </row>
    <row r="402" spans="1:8" x14ac:dyDescent="0.45">
      <c r="A402">
        <v>401</v>
      </c>
      <c r="B402" t="s">
        <v>74</v>
      </c>
      <c r="C402" t="s">
        <v>819</v>
      </c>
      <c r="D402">
        <v>-3174.6</v>
      </c>
      <c r="E402" t="s">
        <v>820</v>
      </c>
      <c r="F402" t="s">
        <v>1060</v>
      </c>
      <c r="G402">
        <v>1284</v>
      </c>
      <c r="H402" t="s">
        <v>195</v>
      </c>
    </row>
    <row r="403" spans="1:8" x14ac:dyDescent="0.45">
      <c r="A403">
        <v>402</v>
      </c>
      <c r="B403" t="s">
        <v>74</v>
      </c>
      <c r="C403" t="s">
        <v>826</v>
      </c>
      <c r="D403">
        <v>53146.71</v>
      </c>
      <c r="E403" t="s">
        <v>853</v>
      </c>
      <c r="F403" t="s">
        <v>1060</v>
      </c>
      <c r="G403">
        <v>1347</v>
      </c>
      <c r="H403" t="s">
        <v>196</v>
      </c>
    </row>
    <row r="404" spans="1:8" x14ac:dyDescent="0.45">
      <c r="A404">
        <v>403</v>
      </c>
      <c r="B404" t="s">
        <v>74</v>
      </c>
      <c r="C404" t="s">
        <v>828</v>
      </c>
      <c r="D404">
        <v>-4210.67</v>
      </c>
      <c r="E404" t="s">
        <v>854</v>
      </c>
      <c r="F404" t="s">
        <v>1060</v>
      </c>
      <c r="G404">
        <v>1351</v>
      </c>
      <c r="H404" t="s">
        <v>196</v>
      </c>
    </row>
    <row r="405" spans="1:8" x14ac:dyDescent="0.45">
      <c r="A405">
        <v>404</v>
      </c>
      <c r="B405" t="s">
        <v>74</v>
      </c>
      <c r="C405" t="s">
        <v>830</v>
      </c>
      <c r="D405">
        <v>-29686.44</v>
      </c>
      <c r="E405" t="s">
        <v>855</v>
      </c>
      <c r="F405" t="s">
        <v>1060</v>
      </c>
      <c r="G405">
        <v>1355</v>
      </c>
      <c r="H405" t="s">
        <v>196</v>
      </c>
    </row>
    <row r="406" spans="1:8" x14ac:dyDescent="0.45">
      <c r="A406">
        <v>405</v>
      </c>
      <c r="B406" t="s">
        <v>74</v>
      </c>
      <c r="C406" t="s">
        <v>832</v>
      </c>
      <c r="D406">
        <v>-3983.1</v>
      </c>
      <c r="E406" t="s">
        <v>856</v>
      </c>
      <c r="F406" t="s">
        <v>1060</v>
      </c>
      <c r="G406">
        <v>1359</v>
      </c>
      <c r="H406" t="s">
        <v>196</v>
      </c>
    </row>
    <row r="407" spans="1:8" x14ac:dyDescent="0.45">
      <c r="A407">
        <v>406</v>
      </c>
      <c r="B407" t="s">
        <v>74</v>
      </c>
      <c r="C407" t="s">
        <v>834</v>
      </c>
      <c r="D407">
        <v>-1402.21</v>
      </c>
      <c r="E407" t="s">
        <v>857</v>
      </c>
      <c r="F407" t="s">
        <v>1060</v>
      </c>
      <c r="G407">
        <v>1361</v>
      </c>
      <c r="H407" t="s">
        <v>196</v>
      </c>
    </row>
    <row r="408" spans="1:8" x14ac:dyDescent="0.45">
      <c r="A408">
        <v>407</v>
      </c>
      <c r="B408" t="s">
        <v>74</v>
      </c>
      <c r="C408" t="s">
        <v>837</v>
      </c>
      <c r="D408">
        <v>-1305.1500000000001</v>
      </c>
      <c r="E408" t="s">
        <v>859</v>
      </c>
      <c r="F408" t="s">
        <v>1060</v>
      </c>
      <c r="G408">
        <v>1366</v>
      </c>
      <c r="H408" t="s">
        <v>196</v>
      </c>
    </row>
    <row r="409" spans="1:8" x14ac:dyDescent="0.45">
      <c r="A409">
        <v>408</v>
      </c>
      <c r="B409" t="s">
        <v>74</v>
      </c>
      <c r="C409" t="s">
        <v>840</v>
      </c>
      <c r="D409">
        <v>-2292.12</v>
      </c>
      <c r="E409" t="s">
        <v>861</v>
      </c>
      <c r="F409" t="s">
        <v>1060</v>
      </c>
      <c r="G409">
        <v>1370</v>
      </c>
      <c r="H409" t="s">
        <v>196</v>
      </c>
    </row>
    <row r="410" spans="1:8" x14ac:dyDescent="0.45">
      <c r="A410">
        <v>409</v>
      </c>
      <c r="B410" t="s">
        <v>74</v>
      </c>
      <c r="C410" t="s">
        <v>865</v>
      </c>
      <c r="D410">
        <v>-3203.2</v>
      </c>
      <c r="E410" t="s">
        <v>866</v>
      </c>
      <c r="F410" t="s">
        <v>1060</v>
      </c>
      <c r="G410">
        <v>1384</v>
      </c>
      <c r="H410" t="s">
        <v>196</v>
      </c>
    </row>
    <row r="411" spans="1:8" x14ac:dyDescent="0.45">
      <c r="A411">
        <v>410</v>
      </c>
      <c r="B411" t="s">
        <v>74</v>
      </c>
      <c r="C411" t="s">
        <v>872</v>
      </c>
      <c r="D411">
        <v>49452.81</v>
      </c>
      <c r="E411" t="s">
        <v>900</v>
      </c>
      <c r="F411" t="s">
        <v>1060</v>
      </c>
      <c r="G411">
        <v>1447</v>
      </c>
      <c r="H411" t="s">
        <v>197</v>
      </c>
    </row>
    <row r="412" spans="1:8" x14ac:dyDescent="0.45">
      <c r="A412">
        <v>411</v>
      </c>
      <c r="B412" t="s">
        <v>74</v>
      </c>
      <c r="C412" t="s">
        <v>874</v>
      </c>
      <c r="D412">
        <v>-3863.92</v>
      </c>
      <c r="E412" t="s">
        <v>901</v>
      </c>
      <c r="F412" t="s">
        <v>1060</v>
      </c>
      <c r="G412">
        <v>1451</v>
      </c>
      <c r="H412" t="s">
        <v>197</v>
      </c>
    </row>
    <row r="413" spans="1:8" x14ac:dyDescent="0.45">
      <c r="A413">
        <v>412</v>
      </c>
      <c r="B413" t="s">
        <v>74</v>
      </c>
      <c r="C413" t="s">
        <v>876</v>
      </c>
      <c r="D413">
        <v>-29994.93</v>
      </c>
      <c r="E413" t="s">
        <v>902</v>
      </c>
      <c r="F413" t="s">
        <v>1060</v>
      </c>
      <c r="G413">
        <v>1455</v>
      </c>
      <c r="H413" t="s">
        <v>197</v>
      </c>
    </row>
    <row r="414" spans="1:8" x14ac:dyDescent="0.45">
      <c r="A414">
        <v>413</v>
      </c>
      <c r="B414" t="s">
        <v>74</v>
      </c>
      <c r="C414" t="s">
        <v>878</v>
      </c>
      <c r="D414">
        <v>-4001.8</v>
      </c>
      <c r="E414" t="s">
        <v>903</v>
      </c>
      <c r="F414" t="s">
        <v>1060</v>
      </c>
      <c r="G414">
        <v>1459</v>
      </c>
      <c r="H414" t="s">
        <v>197</v>
      </c>
    </row>
    <row r="415" spans="1:8" x14ac:dyDescent="0.45">
      <c r="A415">
        <v>414</v>
      </c>
      <c r="B415" t="s">
        <v>74</v>
      </c>
      <c r="C415" t="s">
        <v>880</v>
      </c>
      <c r="D415">
        <v>-1273.51</v>
      </c>
      <c r="E415" t="s">
        <v>904</v>
      </c>
      <c r="F415" t="s">
        <v>1060</v>
      </c>
      <c r="G415">
        <v>1461</v>
      </c>
      <c r="H415" t="s">
        <v>197</v>
      </c>
    </row>
    <row r="416" spans="1:8" x14ac:dyDescent="0.45">
      <c r="A416">
        <v>415</v>
      </c>
      <c r="B416" t="s">
        <v>74</v>
      </c>
      <c r="C416" t="s">
        <v>883</v>
      </c>
      <c r="D416">
        <v>-1316.7</v>
      </c>
      <c r="E416" t="s">
        <v>906</v>
      </c>
      <c r="F416" t="s">
        <v>1060</v>
      </c>
      <c r="G416">
        <v>1466</v>
      </c>
      <c r="H416" t="s">
        <v>197</v>
      </c>
    </row>
    <row r="417" spans="1:8" x14ac:dyDescent="0.45">
      <c r="A417">
        <v>416</v>
      </c>
      <c r="B417" t="s">
        <v>74</v>
      </c>
      <c r="C417" t="s">
        <v>887</v>
      </c>
      <c r="D417">
        <v>-2155.12</v>
      </c>
      <c r="E417" t="s">
        <v>908</v>
      </c>
      <c r="F417" t="s">
        <v>1060</v>
      </c>
      <c r="G417">
        <v>1470</v>
      </c>
      <c r="H417" t="s">
        <v>197</v>
      </c>
    </row>
    <row r="418" spans="1:8" x14ac:dyDescent="0.45">
      <c r="A418">
        <v>417</v>
      </c>
      <c r="B418" t="s">
        <v>74</v>
      </c>
      <c r="C418" t="s">
        <v>912</v>
      </c>
      <c r="D418">
        <v>-3231.8</v>
      </c>
      <c r="E418" t="s">
        <v>913</v>
      </c>
      <c r="F418" t="s">
        <v>1060</v>
      </c>
      <c r="G418">
        <v>1484</v>
      </c>
      <c r="H418" t="s">
        <v>197</v>
      </c>
    </row>
    <row r="419" spans="1:8" x14ac:dyDescent="0.45">
      <c r="A419">
        <v>418</v>
      </c>
      <c r="B419" t="s">
        <v>74</v>
      </c>
      <c r="C419" t="s">
        <v>919</v>
      </c>
      <c r="D419">
        <v>60409.18</v>
      </c>
      <c r="E419" t="s">
        <v>947</v>
      </c>
      <c r="F419" t="s">
        <v>1060</v>
      </c>
      <c r="G419">
        <v>1547</v>
      </c>
      <c r="H419" t="s">
        <v>198</v>
      </c>
    </row>
    <row r="420" spans="1:8" x14ac:dyDescent="0.45">
      <c r="A420">
        <v>419</v>
      </c>
      <c r="B420" t="s">
        <v>74</v>
      </c>
      <c r="C420" t="s">
        <v>921</v>
      </c>
      <c r="D420">
        <v>-4690.92</v>
      </c>
      <c r="E420" t="s">
        <v>948</v>
      </c>
      <c r="F420" t="s">
        <v>1060</v>
      </c>
      <c r="G420">
        <v>1551</v>
      </c>
      <c r="H420" t="s">
        <v>198</v>
      </c>
    </row>
    <row r="421" spans="1:8" x14ac:dyDescent="0.45">
      <c r="A421">
        <v>420</v>
      </c>
      <c r="B421" t="s">
        <v>74</v>
      </c>
      <c r="C421" t="s">
        <v>923</v>
      </c>
      <c r="D421">
        <v>-30303.41</v>
      </c>
      <c r="E421" t="s">
        <v>949</v>
      </c>
      <c r="F421" t="s">
        <v>1060</v>
      </c>
      <c r="G421">
        <v>1555</v>
      </c>
      <c r="H421" t="s">
        <v>198</v>
      </c>
    </row>
    <row r="422" spans="1:8" x14ac:dyDescent="0.45">
      <c r="A422">
        <v>421</v>
      </c>
      <c r="B422" t="s">
        <v>74</v>
      </c>
      <c r="C422" t="s">
        <v>925</v>
      </c>
      <c r="D422">
        <v>-4020.5</v>
      </c>
      <c r="E422" t="s">
        <v>950</v>
      </c>
      <c r="F422" t="s">
        <v>1060</v>
      </c>
      <c r="G422">
        <v>1559</v>
      </c>
      <c r="H422" t="s">
        <v>198</v>
      </c>
    </row>
    <row r="423" spans="1:8" x14ac:dyDescent="0.45">
      <c r="A423">
        <v>422</v>
      </c>
      <c r="B423" t="s">
        <v>74</v>
      </c>
      <c r="C423" t="s">
        <v>927</v>
      </c>
      <c r="D423">
        <v>-1530.37</v>
      </c>
      <c r="E423" t="s">
        <v>951</v>
      </c>
      <c r="F423" t="s">
        <v>1060</v>
      </c>
      <c r="G423">
        <v>1561</v>
      </c>
      <c r="H423" t="s">
        <v>198</v>
      </c>
    </row>
    <row r="424" spans="1:8" x14ac:dyDescent="0.45">
      <c r="A424">
        <v>423</v>
      </c>
      <c r="B424" t="s">
        <v>74</v>
      </c>
      <c r="C424" t="s">
        <v>930</v>
      </c>
      <c r="D424">
        <v>-1328.25</v>
      </c>
      <c r="E424" t="s">
        <v>953</v>
      </c>
      <c r="F424" t="s">
        <v>1060</v>
      </c>
      <c r="G424">
        <v>1566</v>
      </c>
      <c r="H424" t="s">
        <v>198</v>
      </c>
    </row>
    <row r="425" spans="1:8" x14ac:dyDescent="0.45">
      <c r="A425">
        <v>424</v>
      </c>
      <c r="B425" t="s">
        <v>74</v>
      </c>
      <c r="C425" t="s">
        <v>934</v>
      </c>
      <c r="D425">
        <v>-1974.34</v>
      </c>
      <c r="E425" t="s">
        <v>955</v>
      </c>
      <c r="F425" t="s">
        <v>1060</v>
      </c>
      <c r="G425">
        <v>1570</v>
      </c>
      <c r="H425" t="s">
        <v>198</v>
      </c>
    </row>
    <row r="426" spans="1:8" x14ac:dyDescent="0.45">
      <c r="A426">
        <v>425</v>
      </c>
      <c r="B426" t="s">
        <v>74</v>
      </c>
      <c r="C426" t="s">
        <v>959</v>
      </c>
      <c r="D426">
        <v>-3260.4</v>
      </c>
      <c r="E426" t="s">
        <v>960</v>
      </c>
      <c r="F426" t="s">
        <v>1060</v>
      </c>
      <c r="G426">
        <v>1584</v>
      </c>
      <c r="H426" t="s">
        <v>198</v>
      </c>
    </row>
    <row r="427" spans="1:8" x14ac:dyDescent="0.45">
      <c r="A427">
        <v>426</v>
      </c>
      <c r="B427" t="s">
        <v>74</v>
      </c>
      <c r="C427" t="s">
        <v>966</v>
      </c>
      <c r="D427">
        <v>51831.21</v>
      </c>
      <c r="E427" t="s">
        <v>994</v>
      </c>
      <c r="F427" t="s">
        <v>1060</v>
      </c>
      <c r="G427">
        <v>1647</v>
      </c>
      <c r="H427" t="s">
        <v>199</v>
      </c>
    </row>
    <row r="428" spans="1:8" x14ac:dyDescent="0.45">
      <c r="A428">
        <v>427</v>
      </c>
      <c r="B428" t="s">
        <v>74</v>
      </c>
      <c r="C428" t="s">
        <v>968</v>
      </c>
      <c r="D428">
        <v>-4005.88</v>
      </c>
      <c r="E428" t="s">
        <v>995</v>
      </c>
      <c r="F428" t="s">
        <v>1060</v>
      </c>
      <c r="G428">
        <v>1651</v>
      </c>
      <c r="H428" t="s">
        <v>199</v>
      </c>
    </row>
    <row r="429" spans="1:8" x14ac:dyDescent="0.45">
      <c r="A429">
        <v>428</v>
      </c>
      <c r="B429" t="s">
        <v>74</v>
      </c>
      <c r="C429" t="s">
        <v>970</v>
      </c>
      <c r="D429">
        <v>-30611.9</v>
      </c>
      <c r="E429" t="s">
        <v>996</v>
      </c>
      <c r="F429" t="s">
        <v>1060</v>
      </c>
      <c r="G429">
        <v>1655</v>
      </c>
      <c r="H429" t="s">
        <v>199</v>
      </c>
    </row>
    <row r="430" spans="1:8" x14ac:dyDescent="0.45">
      <c r="A430">
        <v>429</v>
      </c>
      <c r="B430" t="s">
        <v>74</v>
      </c>
      <c r="C430" t="s">
        <v>972</v>
      </c>
      <c r="D430">
        <v>-4039.2</v>
      </c>
      <c r="E430" t="s">
        <v>997</v>
      </c>
      <c r="F430" t="s">
        <v>1060</v>
      </c>
      <c r="G430">
        <v>1659</v>
      </c>
      <c r="H430" t="s">
        <v>199</v>
      </c>
    </row>
    <row r="431" spans="1:8" x14ac:dyDescent="0.45">
      <c r="A431">
        <v>430</v>
      </c>
      <c r="B431" t="s">
        <v>74</v>
      </c>
      <c r="C431" t="s">
        <v>974</v>
      </c>
      <c r="D431">
        <v>-1293.72</v>
      </c>
      <c r="E431" t="s">
        <v>998</v>
      </c>
      <c r="F431" t="s">
        <v>1060</v>
      </c>
      <c r="G431">
        <v>1661</v>
      </c>
      <c r="H431" t="s">
        <v>199</v>
      </c>
    </row>
    <row r="432" spans="1:8" x14ac:dyDescent="0.45">
      <c r="A432">
        <v>431</v>
      </c>
      <c r="B432" t="s">
        <v>74</v>
      </c>
      <c r="C432" t="s">
        <v>977</v>
      </c>
      <c r="D432">
        <v>-1339.8</v>
      </c>
      <c r="E432" t="s">
        <v>1000</v>
      </c>
      <c r="F432" t="s">
        <v>1060</v>
      </c>
      <c r="G432">
        <v>1666</v>
      </c>
      <c r="H432" t="s">
        <v>199</v>
      </c>
    </row>
    <row r="433" spans="1:8" x14ac:dyDescent="0.45">
      <c r="A433">
        <v>432</v>
      </c>
      <c r="B433" t="s">
        <v>74</v>
      </c>
      <c r="C433" t="s">
        <v>981</v>
      </c>
      <c r="D433">
        <v>-2392.9899999999998</v>
      </c>
      <c r="E433" t="s">
        <v>1002</v>
      </c>
      <c r="F433" t="s">
        <v>1060</v>
      </c>
      <c r="G433">
        <v>1670</v>
      </c>
      <c r="H433" t="s">
        <v>199</v>
      </c>
    </row>
    <row r="434" spans="1:8" x14ac:dyDescent="0.45">
      <c r="A434">
        <v>433</v>
      </c>
      <c r="B434" t="s">
        <v>74</v>
      </c>
      <c r="C434" t="s">
        <v>966</v>
      </c>
      <c r="D434">
        <v>-3289</v>
      </c>
      <c r="E434" t="s">
        <v>1006</v>
      </c>
      <c r="F434" t="s">
        <v>1060</v>
      </c>
      <c r="G434">
        <v>1684</v>
      </c>
      <c r="H434" t="s">
        <v>199</v>
      </c>
    </row>
    <row r="435" spans="1:8" x14ac:dyDescent="0.45">
      <c r="A435">
        <v>434</v>
      </c>
      <c r="B435" t="s">
        <v>74</v>
      </c>
      <c r="C435" t="s">
        <v>1012</v>
      </c>
      <c r="D435">
        <v>54828.09</v>
      </c>
      <c r="E435" t="s">
        <v>1039</v>
      </c>
      <c r="F435" t="s">
        <v>1060</v>
      </c>
      <c r="G435">
        <v>1747</v>
      </c>
      <c r="H435" t="s">
        <v>200</v>
      </c>
    </row>
    <row r="436" spans="1:8" x14ac:dyDescent="0.45">
      <c r="A436">
        <v>435</v>
      </c>
      <c r="B436" t="s">
        <v>74</v>
      </c>
      <c r="C436" t="s">
        <v>1014</v>
      </c>
      <c r="D436">
        <v>-4137.1099999999997</v>
      </c>
      <c r="E436" t="s">
        <v>1040</v>
      </c>
      <c r="F436" t="s">
        <v>1060</v>
      </c>
      <c r="G436">
        <v>1751</v>
      </c>
      <c r="H436" t="s">
        <v>200</v>
      </c>
    </row>
    <row r="437" spans="1:8" x14ac:dyDescent="0.45">
      <c r="A437">
        <v>436</v>
      </c>
      <c r="B437" t="s">
        <v>74</v>
      </c>
      <c r="C437" t="s">
        <v>1016</v>
      </c>
      <c r="D437">
        <v>-30920.38</v>
      </c>
      <c r="E437" t="s">
        <v>1041</v>
      </c>
      <c r="F437" t="s">
        <v>1060</v>
      </c>
      <c r="G437">
        <v>1755</v>
      </c>
      <c r="H437" t="s">
        <v>200</v>
      </c>
    </row>
    <row r="438" spans="1:8" x14ac:dyDescent="0.45">
      <c r="A438">
        <v>437</v>
      </c>
      <c r="B438" t="s">
        <v>74</v>
      </c>
      <c r="C438" t="s">
        <v>1018</v>
      </c>
      <c r="D438">
        <v>-4057.9</v>
      </c>
      <c r="E438" t="s">
        <v>1042</v>
      </c>
      <c r="F438" t="s">
        <v>1060</v>
      </c>
      <c r="G438">
        <v>1759</v>
      </c>
      <c r="H438" t="s">
        <v>200</v>
      </c>
    </row>
    <row r="439" spans="1:8" x14ac:dyDescent="0.45">
      <c r="A439">
        <v>438</v>
      </c>
      <c r="B439" t="s">
        <v>74</v>
      </c>
      <c r="C439" t="s">
        <v>1023</v>
      </c>
      <c r="D439">
        <v>-1351.35</v>
      </c>
      <c r="E439" t="s">
        <v>1045</v>
      </c>
      <c r="F439" t="s">
        <v>1060</v>
      </c>
      <c r="G439">
        <v>1766</v>
      </c>
      <c r="H439" t="s">
        <v>200</v>
      </c>
    </row>
    <row r="440" spans="1:8" x14ac:dyDescent="0.45">
      <c r="A440">
        <v>439</v>
      </c>
      <c r="B440" t="s">
        <v>74</v>
      </c>
      <c r="C440" t="s">
        <v>1026</v>
      </c>
      <c r="D440">
        <v>-2040.24</v>
      </c>
      <c r="E440" t="s">
        <v>1047</v>
      </c>
      <c r="F440" t="s">
        <v>1060</v>
      </c>
      <c r="G440">
        <v>1770</v>
      </c>
      <c r="H440" t="s">
        <v>200</v>
      </c>
    </row>
    <row r="441" spans="1:8" x14ac:dyDescent="0.45">
      <c r="A441">
        <v>440</v>
      </c>
      <c r="B441" t="s">
        <v>74</v>
      </c>
      <c r="C441" t="s">
        <v>1051</v>
      </c>
      <c r="D441">
        <v>-3317.6</v>
      </c>
      <c r="E441" t="s">
        <v>1052</v>
      </c>
      <c r="F441" t="s">
        <v>1060</v>
      </c>
      <c r="G441">
        <v>1784</v>
      </c>
      <c r="H441" t="s">
        <v>200</v>
      </c>
    </row>
    <row r="442" spans="1:8" x14ac:dyDescent="0.45">
      <c r="A442">
        <v>441</v>
      </c>
      <c r="B442" t="s">
        <v>72</v>
      </c>
      <c r="C442" t="s">
        <v>1016</v>
      </c>
      <c r="D442">
        <v>-50</v>
      </c>
      <c r="E442" t="s">
        <v>1061</v>
      </c>
      <c r="F442" t="s">
        <v>1062</v>
      </c>
      <c r="H442" t="s">
        <v>200</v>
      </c>
    </row>
    <row r="443" spans="1:8" x14ac:dyDescent="0.45">
      <c r="A443">
        <v>442</v>
      </c>
      <c r="B443" t="s">
        <v>72</v>
      </c>
      <c r="C443" t="s">
        <v>1016</v>
      </c>
      <c r="D443">
        <v>40</v>
      </c>
      <c r="E443" t="s">
        <v>1063</v>
      </c>
      <c r="F443" t="s">
        <v>1062</v>
      </c>
      <c r="H443" t="s">
        <v>200</v>
      </c>
    </row>
    <row r="444" spans="1:8" x14ac:dyDescent="0.45">
      <c r="A444">
        <v>443</v>
      </c>
      <c r="B444" t="s">
        <v>73</v>
      </c>
      <c r="C444" t="s">
        <v>1016</v>
      </c>
      <c r="D444">
        <v>-44.3</v>
      </c>
      <c r="E444" t="s">
        <v>1061</v>
      </c>
      <c r="F444" t="s">
        <v>1062</v>
      </c>
      <c r="H444" t="s">
        <v>200</v>
      </c>
    </row>
    <row r="445" spans="1:8" x14ac:dyDescent="0.45">
      <c r="A445">
        <v>444</v>
      </c>
      <c r="B445" t="s">
        <v>73</v>
      </c>
      <c r="C445" t="s">
        <v>1016</v>
      </c>
      <c r="D445">
        <v>31.64</v>
      </c>
      <c r="E445" t="s">
        <v>1063</v>
      </c>
      <c r="F445" t="s">
        <v>1062</v>
      </c>
      <c r="H445" t="s">
        <v>200</v>
      </c>
    </row>
    <row r="446" spans="1:8" x14ac:dyDescent="0.45">
      <c r="A446">
        <v>445</v>
      </c>
      <c r="B446" t="s">
        <v>74</v>
      </c>
      <c r="C446" t="s">
        <v>1016</v>
      </c>
      <c r="D446">
        <v>-43.25</v>
      </c>
      <c r="E446" t="s">
        <v>1061</v>
      </c>
      <c r="F446" t="s">
        <v>1062</v>
      </c>
      <c r="H446" t="s">
        <v>200</v>
      </c>
    </row>
    <row r="447" spans="1:8" x14ac:dyDescent="0.45">
      <c r="A447">
        <v>446</v>
      </c>
      <c r="B447" t="s">
        <v>74</v>
      </c>
      <c r="C447" t="s">
        <v>1016</v>
      </c>
      <c r="D447">
        <v>30.1</v>
      </c>
      <c r="E447" t="s">
        <v>1063</v>
      </c>
      <c r="F447" t="s">
        <v>1062</v>
      </c>
      <c r="H447" t="s">
        <v>200</v>
      </c>
    </row>
  </sheetData>
  <pageMargins left="0.75" right="0.75" top="1" bottom="1" header="0.5" footer="0.5"/>
  <headerFooter>
    <oddFooter>&amp;R_x000D_&amp;1#&amp;"Aptos"&amp;8&amp;K000000 Cisco Confidential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79A56"/>
  </sheetPr>
  <dimension ref="A1:G577"/>
  <sheetViews>
    <sheetView showGridLines="0" workbookViewId="0"/>
  </sheetViews>
  <sheetFormatPr defaultRowHeight="14.25" x14ac:dyDescent="0.45"/>
  <cols>
    <col min="1" max="1" width="11" customWidth="1"/>
    <col min="2" max="2" width="12" customWidth="1"/>
    <col min="3" max="3" width="11" customWidth="1"/>
    <col min="4" max="5" width="13" customWidth="1"/>
    <col min="6" max="6" width="14" customWidth="1"/>
    <col min="7" max="7" width="11" customWidth="1"/>
  </cols>
  <sheetData>
    <row r="1" spans="1:7" x14ac:dyDescent="0.45">
      <c r="A1" t="s">
        <v>1064</v>
      </c>
      <c r="B1" t="s">
        <v>205</v>
      </c>
      <c r="C1" t="s">
        <v>178</v>
      </c>
      <c r="D1" t="s">
        <v>207</v>
      </c>
      <c r="E1" t="s">
        <v>208</v>
      </c>
      <c r="F1" t="s">
        <v>1065</v>
      </c>
      <c r="G1" t="s">
        <v>216</v>
      </c>
    </row>
    <row r="2" spans="1:7" x14ac:dyDescent="0.45">
      <c r="A2">
        <v>1</v>
      </c>
      <c r="B2" t="s">
        <v>72</v>
      </c>
      <c r="C2" t="s">
        <v>230</v>
      </c>
      <c r="D2">
        <v>4010</v>
      </c>
      <c r="E2" t="s">
        <v>101</v>
      </c>
      <c r="F2">
        <v>37497.4</v>
      </c>
      <c r="G2" t="s">
        <v>183</v>
      </c>
    </row>
    <row r="3" spans="1:7" x14ac:dyDescent="0.45">
      <c r="A3">
        <v>2</v>
      </c>
      <c r="B3" t="s">
        <v>72</v>
      </c>
      <c r="C3" t="s">
        <v>230</v>
      </c>
      <c r="D3">
        <v>4020</v>
      </c>
      <c r="E3" t="s">
        <v>103</v>
      </c>
      <c r="F3">
        <v>30252.17</v>
      </c>
      <c r="G3" t="s">
        <v>183</v>
      </c>
    </row>
    <row r="4" spans="1:7" x14ac:dyDescent="0.45">
      <c r="A4">
        <v>3</v>
      </c>
      <c r="B4" t="s">
        <v>72</v>
      </c>
      <c r="C4" t="s">
        <v>230</v>
      </c>
      <c r="D4">
        <v>4030</v>
      </c>
      <c r="E4" t="s">
        <v>105</v>
      </c>
      <c r="F4">
        <v>22794.28</v>
      </c>
      <c r="G4" t="s">
        <v>183</v>
      </c>
    </row>
    <row r="5" spans="1:7" x14ac:dyDescent="0.45">
      <c r="A5">
        <v>4</v>
      </c>
      <c r="B5" t="s">
        <v>72</v>
      </c>
      <c r="C5" t="s">
        <v>230</v>
      </c>
      <c r="D5">
        <v>6010</v>
      </c>
      <c r="E5" t="s">
        <v>119</v>
      </c>
      <c r="F5">
        <v>41157.230000000003</v>
      </c>
      <c r="G5" t="s">
        <v>183</v>
      </c>
    </row>
    <row r="6" spans="1:7" x14ac:dyDescent="0.45">
      <c r="A6">
        <v>5</v>
      </c>
      <c r="B6" t="s">
        <v>72</v>
      </c>
      <c r="C6" t="s">
        <v>230</v>
      </c>
      <c r="D6">
        <v>6020</v>
      </c>
      <c r="E6" t="s">
        <v>121</v>
      </c>
      <c r="F6">
        <v>5823.86</v>
      </c>
      <c r="G6" t="s">
        <v>183</v>
      </c>
    </row>
    <row r="7" spans="1:7" x14ac:dyDescent="0.45">
      <c r="A7">
        <v>6</v>
      </c>
      <c r="B7" t="s">
        <v>72</v>
      </c>
      <c r="C7" t="s">
        <v>230</v>
      </c>
      <c r="D7">
        <v>6030</v>
      </c>
      <c r="E7" t="s">
        <v>123</v>
      </c>
      <c r="F7">
        <v>6687.65</v>
      </c>
      <c r="G7" t="s">
        <v>183</v>
      </c>
    </row>
    <row r="8" spans="1:7" x14ac:dyDescent="0.45">
      <c r="A8">
        <v>7</v>
      </c>
      <c r="B8" t="s">
        <v>72</v>
      </c>
      <c r="C8" t="s">
        <v>230</v>
      </c>
      <c r="D8">
        <v>6040</v>
      </c>
      <c r="E8" t="s">
        <v>125</v>
      </c>
      <c r="F8">
        <v>3252.16</v>
      </c>
      <c r="G8" t="s">
        <v>183</v>
      </c>
    </row>
    <row r="9" spans="1:7" x14ac:dyDescent="0.45">
      <c r="A9">
        <v>8</v>
      </c>
      <c r="B9" t="s">
        <v>72</v>
      </c>
      <c r="C9" t="s">
        <v>230</v>
      </c>
      <c r="D9">
        <v>6050</v>
      </c>
      <c r="E9" t="s">
        <v>127</v>
      </c>
      <c r="F9">
        <v>1422.73</v>
      </c>
      <c r="G9" t="s">
        <v>183</v>
      </c>
    </row>
    <row r="10" spans="1:7" x14ac:dyDescent="0.45">
      <c r="A10">
        <v>9</v>
      </c>
      <c r="B10" t="s">
        <v>72</v>
      </c>
      <c r="C10" t="s">
        <v>230</v>
      </c>
      <c r="D10">
        <v>6060</v>
      </c>
      <c r="E10" t="s">
        <v>129</v>
      </c>
      <c r="F10">
        <v>2040.91</v>
      </c>
      <c r="G10" t="s">
        <v>183</v>
      </c>
    </row>
    <row r="11" spans="1:7" x14ac:dyDescent="0.45">
      <c r="A11">
        <v>10</v>
      </c>
      <c r="B11" t="s">
        <v>72</v>
      </c>
      <c r="C11" t="s">
        <v>230</v>
      </c>
      <c r="D11">
        <v>7000</v>
      </c>
      <c r="E11" t="s">
        <v>133</v>
      </c>
      <c r="F11">
        <v>1100.24</v>
      </c>
      <c r="G11" t="s">
        <v>183</v>
      </c>
    </row>
    <row r="12" spans="1:7" x14ac:dyDescent="0.45">
      <c r="A12">
        <v>11</v>
      </c>
      <c r="B12" t="s">
        <v>73</v>
      </c>
      <c r="C12" t="s">
        <v>230</v>
      </c>
      <c r="D12">
        <v>4010</v>
      </c>
      <c r="E12" t="s">
        <v>101</v>
      </c>
      <c r="F12">
        <v>20613.41</v>
      </c>
      <c r="G12" t="s">
        <v>183</v>
      </c>
    </row>
    <row r="13" spans="1:7" x14ac:dyDescent="0.45">
      <c r="A13">
        <v>12</v>
      </c>
      <c r="B13" t="s">
        <v>73</v>
      </c>
      <c r="C13" t="s">
        <v>230</v>
      </c>
      <c r="D13">
        <v>4020</v>
      </c>
      <c r="E13" t="s">
        <v>103</v>
      </c>
      <c r="F13">
        <v>16965.32</v>
      </c>
      <c r="G13" t="s">
        <v>183</v>
      </c>
    </row>
    <row r="14" spans="1:7" x14ac:dyDescent="0.45">
      <c r="A14">
        <v>13</v>
      </c>
      <c r="B14" t="s">
        <v>73</v>
      </c>
      <c r="C14" t="s">
        <v>230</v>
      </c>
      <c r="D14">
        <v>4030</v>
      </c>
      <c r="E14" t="s">
        <v>105</v>
      </c>
      <c r="F14">
        <v>12716.95</v>
      </c>
      <c r="G14" t="s">
        <v>183</v>
      </c>
    </row>
    <row r="15" spans="1:7" x14ac:dyDescent="0.45">
      <c r="A15">
        <v>14</v>
      </c>
      <c r="B15" t="s">
        <v>73</v>
      </c>
      <c r="C15" t="s">
        <v>230</v>
      </c>
      <c r="D15">
        <v>6010</v>
      </c>
      <c r="E15" t="s">
        <v>119</v>
      </c>
      <c r="F15">
        <v>25406.36</v>
      </c>
      <c r="G15" t="s">
        <v>183</v>
      </c>
    </row>
    <row r="16" spans="1:7" x14ac:dyDescent="0.45">
      <c r="A16">
        <v>15</v>
      </c>
      <c r="B16" t="s">
        <v>73</v>
      </c>
      <c r="C16" t="s">
        <v>230</v>
      </c>
      <c r="D16">
        <v>6020</v>
      </c>
      <c r="E16" t="s">
        <v>121</v>
      </c>
      <c r="F16">
        <v>3596.07</v>
      </c>
      <c r="G16" t="s">
        <v>183</v>
      </c>
    </row>
    <row r="17" spans="1:7" x14ac:dyDescent="0.45">
      <c r="A17">
        <v>16</v>
      </c>
      <c r="B17" t="s">
        <v>73</v>
      </c>
      <c r="C17" t="s">
        <v>230</v>
      </c>
      <c r="D17">
        <v>6030</v>
      </c>
      <c r="E17" t="s">
        <v>123</v>
      </c>
      <c r="F17">
        <v>4132.78</v>
      </c>
      <c r="G17" t="s">
        <v>183</v>
      </c>
    </row>
    <row r="18" spans="1:7" x14ac:dyDescent="0.45">
      <c r="A18">
        <v>17</v>
      </c>
      <c r="B18" t="s">
        <v>73</v>
      </c>
      <c r="C18" t="s">
        <v>230</v>
      </c>
      <c r="D18">
        <v>6040</v>
      </c>
      <c r="E18" t="s">
        <v>125</v>
      </c>
      <c r="F18">
        <v>1962.06</v>
      </c>
      <c r="G18" t="s">
        <v>183</v>
      </c>
    </row>
    <row r="19" spans="1:7" x14ac:dyDescent="0.45">
      <c r="A19">
        <v>18</v>
      </c>
      <c r="B19" t="s">
        <v>73</v>
      </c>
      <c r="C19" t="s">
        <v>230</v>
      </c>
      <c r="D19">
        <v>6050</v>
      </c>
      <c r="E19" t="s">
        <v>127</v>
      </c>
      <c r="F19">
        <v>906.13</v>
      </c>
      <c r="G19" t="s">
        <v>183</v>
      </c>
    </row>
    <row r="20" spans="1:7" x14ac:dyDescent="0.45">
      <c r="A20">
        <v>19</v>
      </c>
      <c r="B20" t="s">
        <v>73</v>
      </c>
      <c r="C20" t="s">
        <v>230</v>
      </c>
      <c r="D20">
        <v>6060</v>
      </c>
      <c r="E20" t="s">
        <v>129</v>
      </c>
      <c r="F20">
        <v>1281.2</v>
      </c>
      <c r="G20" t="s">
        <v>183</v>
      </c>
    </row>
    <row r="21" spans="1:7" x14ac:dyDescent="0.45">
      <c r="A21">
        <v>20</v>
      </c>
      <c r="B21" t="s">
        <v>73</v>
      </c>
      <c r="C21" t="s">
        <v>230</v>
      </c>
      <c r="D21">
        <v>7000</v>
      </c>
      <c r="E21" t="s">
        <v>133</v>
      </c>
      <c r="F21">
        <v>672.6</v>
      </c>
      <c r="G21" t="s">
        <v>183</v>
      </c>
    </row>
    <row r="22" spans="1:7" x14ac:dyDescent="0.45">
      <c r="A22">
        <v>21</v>
      </c>
      <c r="B22" t="s">
        <v>74</v>
      </c>
      <c r="C22" t="s">
        <v>230</v>
      </c>
      <c r="D22">
        <v>4010</v>
      </c>
      <c r="E22" t="s">
        <v>101</v>
      </c>
      <c r="F22">
        <v>22744.47</v>
      </c>
      <c r="G22" t="s">
        <v>183</v>
      </c>
    </row>
    <row r="23" spans="1:7" x14ac:dyDescent="0.45">
      <c r="A23">
        <v>22</v>
      </c>
      <c r="B23" t="s">
        <v>74</v>
      </c>
      <c r="C23" t="s">
        <v>230</v>
      </c>
      <c r="D23">
        <v>4020</v>
      </c>
      <c r="E23" t="s">
        <v>103</v>
      </c>
      <c r="F23">
        <v>17418.45</v>
      </c>
      <c r="G23" t="s">
        <v>183</v>
      </c>
    </row>
    <row r="24" spans="1:7" x14ac:dyDescent="0.45">
      <c r="A24">
        <v>23</v>
      </c>
      <c r="B24" t="s">
        <v>74</v>
      </c>
      <c r="C24" t="s">
        <v>230</v>
      </c>
      <c r="D24">
        <v>4030</v>
      </c>
      <c r="E24" t="s">
        <v>105</v>
      </c>
      <c r="F24">
        <v>13201.38</v>
      </c>
      <c r="G24" t="s">
        <v>183</v>
      </c>
    </row>
    <row r="25" spans="1:7" x14ac:dyDescent="0.45">
      <c r="A25">
        <v>24</v>
      </c>
      <c r="B25" t="s">
        <v>74</v>
      </c>
      <c r="C25" t="s">
        <v>230</v>
      </c>
      <c r="D25">
        <v>6010</v>
      </c>
      <c r="E25" t="s">
        <v>119</v>
      </c>
      <c r="F25">
        <v>22554.2</v>
      </c>
      <c r="G25" t="s">
        <v>183</v>
      </c>
    </row>
    <row r="26" spans="1:7" x14ac:dyDescent="0.45">
      <c r="A26">
        <v>25</v>
      </c>
      <c r="B26" t="s">
        <v>74</v>
      </c>
      <c r="C26" t="s">
        <v>230</v>
      </c>
      <c r="D26">
        <v>6020</v>
      </c>
      <c r="E26" t="s">
        <v>121</v>
      </c>
      <c r="F26">
        <v>3189.7</v>
      </c>
      <c r="G26" t="s">
        <v>183</v>
      </c>
    </row>
    <row r="27" spans="1:7" x14ac:dyDescent="0.45">
      <c r="A27">
        <v>26</v>
      </c>
      <c r="B27" t="s">
        <v>74</v>
      </c>
      <c r="C27" t="s">
        <v>230</v>
      </c>
      <c r="D27">
        <v>6030</v>
      </c>
      <c r="E27" t="s">
        <v>123</v>
      </c>
      <c r="F27">
        <v>3774.37</v>
      </c>
      <c r="G27" t="s">
        <v>183</v>
      </c>
    </row>
    <row r="28" spans="1:7" x14ac:dyDescent="0.45">
      <c r="A28">
        <v>27</v>
      </c>
      <c r="B28" t="s">
        <v>74</v>
      </c>
      <c r="C28" t="s">
        <v>230</v>
      </c>
      <c r="D28">
        <v>6040</v>
      </c>
      <c r="E28" t="s">
        <v>125</v>
      </c>
      <c r="F28">
        <v>1975.87</v>
      </c>
      <c r="G28" t="s">
        <v>183</v>
      </c>
    </row>
    <row r="29" spans="1:7" x14ac:dyDescent="0.45">
      <c r="A29">
        <v>28</v>
      </c>
      <c r="B29" t="s">
        <v>74</v>
      </c>
      <c r="C29" t="s">
        <v>230</v>
      </c>
      <c r="D29">
        <v>6050</v>
      </c>
      <c r="E29" t="s">
        <v>127</v>
      </c>
      <c r="F29">
        <v>812.59</v>
      </c>
      <c r="G29" t="s">
        <v>183</v>
      </c>
    </row>
    <row r="30" spans="1:7" x14ac:dyDescent="0.45">
      <c r="A30">
        <v>29</v>
      </c>
      <c r="B30" t="s">
        <v>74</v>
      </c>
      <c r="C30" t="s">
        <v>230</v>
      </c>
      <c r="D30">
        <v>6060</v>
      </c>
      <c r="E30" t="s">
        <v>129</v>
      </c>
      <c r="F30">
        <v>1140.97</v>
      </c>
      <c r="G30" t="s">
        <v>183</v>
      </c>
    </row>
    <row r="31" spans="1:7" x14ac:dyDescent="0.45">
      <c r="A31">
        <v>30</v>
      </c>
      <c r="B31" t="s">
        <v>74</v>
      </c>
      <c r="C31" t="s">
        <v>230</v>
      </c>
      <c r="D31">
        <v>7000</v>
      </c>
      <c r="E31" t="s">
        <v>133</v>
      </c>
      <c r="F31">
        <v>606.26</v>
      </c>
      <c r="G31" t="s">
        <v>183</v>
      </c>
    </row>
    <row r="32" spans="1:7" x14ac:dyDescent="0.45">
      <c r="A32">
        <v>31</v>
      </c>
      <c r="B32" t="s">
        <v>73</v>
      </c>
      <c r="C32" t="s">
        <v>230</v>
      </c>
      <c r="D32">
        <v>6070</v>
      </c>
      <c r="E32" t="s">
        <v>131</v>
      </c>
      <c r="F32">
        <v>3224</v>
      </c>
      <c r="G32" t="s">
        <v>183</v>
      </c>
    </row>
    <row r="33" spans="1:7" x14ac:dyDescent="0.45">
      <c r="A33">
        <v>32</v>
      </c>
      <c r="B33" t="s">
        <v>74</v>
      </c>
      <c r="C33" t="s">
        <v>230</v>
      </c>
      <c r="D33">
        <v>6070</v>
      </c>
      <c r="E33" t="s">
        <v>131</v>
      </c>
      <c r="F33">
        <v>2860</v>
      </c>
      <c r="G33" t="s">
        <v>183</v>
      </c>
    </row>
    <row r="34" spans="1:7" x14ac:dyDescent="0.45">
      <c r="A34">
        <v>33</v>
      </c>
      <c r="B34" t="s">
        <v>72</v>
      </c>
      <c r="C34" t="s">
        <v>274</v>
      </c>
      <c r="D34">
        <v>4010</v>
      </c>
      <c r="E34" t="s">
        <v>101</v>
      </c>
      <c r="F34">
        <v>41983.63</v>
      </c>
      <c r="G34" t="s">
        <v>184</v>
      </c>
    </row>
    <row r="35" spans="1:7" x14ac:dyDescent="0.45">
      <c r="A35">
        <v>34</v>
      </c>
      <c r="B35" t="s">
        <v>72</v>
      </c>
      <c r="C35" t="s">
        <v>274</v>
      </c>
      <c r="D35">
        <v>4020</v>
      </c>
      <c r="E35" t="s">
        <v>103</v>
      </c>
      <c r="F35">
        <v>33795.94</v>
      </c>
      <c r="G35" t="s">
        <v>184</v>
      </c>
    </row>
    <row r="36" spans="1:7" x14ac:dyDescent="0.45">
      <c r="A36">
        <v>35</v>
      </c>
      <c r="B36" t="s">
        <v>72</v>
      </c>
      <c r="C36" t="s">
        <v>274</v>
      </c>
      <c r="D36">
        <v>4030</v>
      </c>
      <c r="E36" t="s">
        <v>105</v>
      </c>
      <c r="F36">
        <v>24886.53</v>
      </c>
      <c r="G36" t="s">
        <v>184</v>
      </c>
    </row>
    <row r="37" spans="1:7" x14ac:dyDescent="0.45">
      <c r="A37">
        <v>36</v>
      </c>
      <c r="B37" t="s">
        <v>72</v>
      </c>
      <c r="C37" t="s">
        <v>274</v>
      </c>
      <c r="D37">
        <v>6010</v>
      </c>
      <c r="E37" t="s">
        <v>119</v>
      </c>
      <c r="F37">
        <v>40342.31</v>
      </c>
      <c r="G37" t="s">
        <v>184</v>
      </c>
    </row>
    <row r="38" spans="1:7" x14ac:dyDescent="0.45">
      <c r="A38">
        <v>37</v>
      </c>
      <c r="B38" t="s">
        <v>72</v>
      </c>
      <c r="C38" t="s">
        <v>274</v>
      </c>
      <c r="D38">
        <v>6020</v>
      </c>
      <c r="E38" t="s">
        <v>121</v>
      </c>
      <c r="F38">
        <v>5700.81</v>
      </c>
      <c r="G38" t="s">
        <v>184</v>
      </c>
    </row>
    <row r="39" spans="1:7" x14ac:dyDescent="0.45">
      <c r="A39">
        <v>38</v>
      </c>
      <c r="B39" t="s">
        <v>72</v>
      </c>
      <c r="C39" t="s">
        <v>274</v>
      </c>
      <c r="D39">
        <v>6030</v>
      </c>
      <c r="E39" t="s">
        <v>123</v>
      </c>
      <c r="F39">
        <v>6776.43</v>
      </c>
      <c r="G39" t="s">
        <v>184</v>
      </c>
    </row>
    <row r="40" spans="1:7" x14ac:dyDescent="0.45">
      <c r="A40">
        <v>39</v>
      </c>
      <c r="B40" t="s">
        <v>72</v>
      </c>
      <c r="C40" t="s">
        <v>274</v>
      </c>
      <c r="D40">
        <v>6040</v>
      </c>
      <c r="E40" t="s">
        <v>125</v>
      </c>
      <c r="F40">
        <v>3027.23</v>
      </c>
      <c r="G40" t="s">
        <v>184</v>
      </c>
    </row>
    <row r="41" spans="1:7" x14ac:dyDescent="0.45">
      <c r="A41">
        <v>40</v>
      </c>
      <c r="B41" t="s">
        <v>72</v>
      </c>
      <c r="C41" t="s">
        <v>274</v>
      </c>
      <c r="D41">
        <v>6050</v>
      </c>
      <c r="E41" t="s">
        <v>127</v>
      </c>
      <c r="F41">
        <v>1434.5</v>
      </c>
      <c r="G41" t="s">
        <v>184</v>
      </c>
    </row>
    <row r="42" spans="1:7" x14ac:dyDescent="0.45">
      <c r="A42">
        <v>41</v>
      </c>
      <c r="B42" t="s">
        <v>72</v>
      </c>
      <c r="C42" t="s">
        <v>274</v>
      </c>
      <c r="D42">
        <v>6060</v>
      </c>
      <c r="E42" t="s">
        <v>129</v>
      </c>
      <c r="F42">
        <v>2036.37</v>
      </c>
      <c r="G42" t="s">
        <v>184</v>
      </c>
    </row>
    <row r="43" spans="1:7" x14ac:dyDescent="0.45">
      <c r="A43">
        <v>42</v>
      </c>
      <c r="B43" t="s">
        <v>72</v>
      </c>
      <c r="C43" t="s">
        <v>274</v>
      </c>
      <c r="D43">
        <v>7000</v>
      </c>
      <c r="E43" t="s">
        <v>133</v>
      </c>
      <c r="F43">
        <v>1090.23</v>
      </c>
      <c r="G43" t="s">
        <v>184</v>
      </c>
    </row>
    <row r="44" spans="1:7" x14ac:dyDescent="0.45">
      <c r="A44">
        <v>43</v>
      </c>
      <c r="B44" t="s">
        <v>73</v>
      </c>
      <c r="C44" t="s">
        <v>274</v>
      </c>
      <c r="D44">
        <v>4010</v>
      </c>
      <c r="E44" t="s">
        <v>101</v>
      </c>
      <c r="F44">
        <v>24365.46</v>
      </c>
      <c r="G44" t="s">
        <v>184</v>
      </c>
    </row>
    <row r="45" spans="1:7" x14ac:dyDescent="0.45">
      <c r="A45">
        <v>44</v>
      </c>
      <c r="B45" t="s">
        <v>73</v>
      </c>
      <c r="C45" t="s">
        <v>274</v>
      </c>
      <c r="D45">
        <v>4020</v>
      </c>
      <c r="E45" t="s">
        <v>103</v>
      </c>
      <c r="F45">
        <v>19154.88</v>
      </c>
      <c r="G45" t="s">
        <v>184</v>
      </c>
    </row>
    <row r="46" spans="1:7" x14ac:dyDescent="0.45">
      <c r="A46">
        <v>45</v>
      </c>
      <c r="B46" t="s">
        <v>73</v>
      </c>
      <c r="C46" t="s">
        <v>274</v>
      </c>
      <c r="D46">
        <v>4030</v>
      </c>
      <c r="E46" t="s">
        <v>105</v>
      </c>
      <c r="F46">
        <v>14270.17</v>
      </c>
      <c r="G46" t="s">
        <v>184</v>
      </c>
    </row>
    <row r="47" spans="1:7" x14ac:dyDescent="0.45">
      <c r="A47">
        <v>46</v>
      </c>
      <c r="B47" t="s">
        <v>73</v>
      </c>
      <c r="C47" t="s">
        <v>274</v>
      </c>
      <c r="D47">
        <v>6010</v>
      </c>
      <c r="E47" t="s">
        <v>119</v>
      </c>
      <c r="F47">
        <v>26158.06</v>
      </c>
      <c r="G47" t="s">
        <v>184</v>
      </c>
    </row>
    <row r="48" spans="1:7" x14ac:dyDescent="0.45">
      <c r="A48">
        <v>47</v>
      </c>
      <c r="B48" t="s">
        <v>73</v>
      </c>
      <c r="C48" t="s">
        <v>274</v>
      </c>
      <c r="D48">
        <v>6020</v>
      </c>
      <c r="E48" t="s">
        <v>121</v>
      </c>
      <c r="F48">
        <v>3610.16</v>
      </c>
      <c r="G48" t="s">
        <v>184</v>
      </c>
    </row>
    <row r="49" spans="1:7" x14ac:dyDescent="0.45">
      <c r="A49">
        <v>48</v>
      </c>
      <c r="B49" t="s">
        <v>73</v>
      </c>
      <c r="C49" t="s">
        <v>274</v>
      </c>
      <c r="D49">
        <v>6030</v>
      </c>
      <c r="E49" t="s">
        <v>123</v>
      </c>
      <c r="F49">
        <v>4255.58</v>
      </c>
      <c r="G49" t="s">
        <v>184</v>
      </c>
    </row>
    <row r="50" spans="1:7" x14ac:dyDescent="0.45">
      <c r="A50">
        <v>49</v>
      </c>
      <c r="B50" t="s">
        <v>73</v>
      </c>
      <c r="C50" t="s">
        <v>274</v>
      </c>
      <c r="D50">
        <v>6040</v>
      </c>
      <c r="E50" t="s">
        <v>125</v>
      </c>
      <c r="F50">
        <v>1859.52</v>
      </c>
      <c r="G50" t="s">
        <v>184</v>
      </c>
    </row>
    <row r="51" spans="1:7" x14ac:dyDescent="0.45">
      <c r="A51">
        <v>50</v>
      </c>
      <c r="B51" t="s">
        <v>73</v>
      </c>
      <c r="C51" t="s">
        <v>274</v>
      </c>
      <c r="D51">
        <v>6050</v>
      </c>
      <c r="E51" t="s">
        <v>127</v>
      </c>
      <c r="F51">
        <v>907.24</v>
      </c>
      <c r="G51" t="s">
        <v>184</v>
      </c>
    </row>
    <row r="52" spans="1:7" x14ac:dyDescent="0.45">
      <c r="A52">
        <v>51</v>
      </c>
      <c r="B52" t="s">
        <v>73</v>
      </c>
      <c r="C52" t="s">
        <v>274</v>
      </c>
      <c r="D52">
        <v>6060</v>
      </c>
      <c r="E52" t="s">
        <v>129</v>
      </c>
      <c r="F52">
        <v>1270.76</v>
      </c>
      <c r="G52" t="s">
        <v>184</v>
      </c>
    </row>
    <row r="53" spans="1:7" x14ac:dyDescent="0.45">
      <c r="A53">
        <v>52</v>
      </c>
      <c r="B53" t="s">
        <v>73</v>
      </c>
      <c r="C53" t="s">
        <v>274</v>
      </c>
      <c r="D53">
        <v>7000</v>
      </c>
      <c r="E53" t="s">
        <v>133</v>
      </c>
      <c r="F53">
        <v>678.71</v>
      </c>
      <c r="G53" t="s">
        <v>184</v>
      </c>
    </row>
    <row r="54" spans="1:7" x14ac:dyDescent="0.45">
      <c r="A54">
        <v>53</v>
      </c>
      <c r="B54" t="s">
        <v>74</v>
      </c>
      <c r="C54" t="s">
        <v>274</v>
      </c>
      <c r="D54">
        <v>4010</v>
      </c>
      <c r="E54" t="s">
        <v>101</v>
      </c>
      <c r="F54">
        <v>23894.07</v>
      </c>
      <c r="G54" t="s">
        <v>184</v>
      </c>
    </row>
    <row r="55" spans="1:7" x14ac:dyDescent="0.45">
      <c r="A55">
        <v>54</v>
      </c>
      <c r="B55" t="s">
        <v>74</v>
      </c>
      <c r="C55" t="s">
        <v>274</v>
      </c>
      <c r="D55">
        <v>4020</v>
      </c>
      <c r="E55" t="s">
        <v>103</v>
      </c>
      <c r="F55">
        <v>18617.05</v>
      </c>
      <c r="G55" t="s">
        <v>184</v>
      </c>
    </row>
    <row r="56" spans="1:7" x14ac:dyDescent="0.45">
      <c r="A56">
        <v>55</v>
      </c>
      <c r="B56" t="s">
        <v>74</v>
      </c>
      <c r="C56" t="s">
        <v>274</v>
      </c>
      <c r="D56">
        <v>4030</v>
      </c>
      <c r="E56" t="s">
        <v>105</v>
      </c>
      <c r="F56">
        <v>14286.5</v>
      </c>
      <c r="G56" t="s">
        <v>184</v>
      </c>
    </row>
    <row r="57" spans="1:7" x14ac:dyDescent="0.45">
      <c r="A57">
        <v>56</v>
      </c>
      <c r="B57" t="s">
        <v>74</v>
      </c>
      <c r="C57" t="s">
        <v>274</v>
      </c>
      <c r="D57">
        <v>6010</v>
      </c>
      <c r="E57" t="s">
        <v>119</v>
      </c>
      <c r="F57">
        <v>23021.42</v>
      </c>
      <c r="G57" t="s">
        <v>184</v>
      </c>
    </row>
    <row r="58" spans="1:7" x14ac:dyDescent="0.45">
      <c r="A58">
        <v>57</v>
      </c>
      <c r="B58" t="s">
        <v>74</v>
      </c>
      <c r="C58" t="s">
        <v>274</v>
      </c>
      <c r="D58">
        <v>6020</v>
      </c>
      <c r="E58" t="s">
        <v>121</v>
      </c>
      <c r="F58">
        <v>3135.62</v>
      </c>
      <c r="G58" t="s">
        <v>184</v>
      </c>
    </row>
    <row r="59" spans="1:7" x14ac:dyDescent="0.45">
      <c r="A59">
        <v>58</v>
      </c>
      <c r="B59" t="s">
        <v>74</v>
      </c>
      <c r="C59" t="s">
        <v>274</v>
      </c>
      <c r="D59">
        <v>6030</v>
      </c>
      <c r="E59" t="s">
        <v>123</v>
      </c>
      <c r="F59">
        <v>3688.35</v>
      </c>
      <c r="G59" t="s">
        <v>184</v>
      </c>
    </row>
    <row r="60" spans="1:7" x14ac:dyDescent="0.45">
      <c r="A60">
        <v>59</v>
      </c>
      <c r="B60" t="s">
        <v>74</v>
      </c>
      <c r="C60" t="s">
        <v>274</v>
      </c>
      <c r="D60">
        <v>6040</v>
      </c>
      <c r="E60" t="s">
        <v>125</v>
      </c>
      <c r="F60">
        <v>1858.23</v>
      </c>
      <c r="G60" t="s">
        <v>184</v>
      </c>
    </row>
    <row r="61" spans="1:7" x14ac:dyDescent="0.45">
      <c r="A61">
        <v>60</v>
      </c>
      <c r="B61" t="s">
        <v>74</v>
      </c>
      <c r="C61" t="s">
        <v>274</v>
      </c>
      <c r="D61">
        <v>6050</v>
      </c>
      <c r="E61" t="s">
        <v>127</v>
      </c>
      <c r="F61">
        <v>790.09</v>
      </c>
      <c r="G61" t="s">
        <v>184</v>
      </c>
    </row>
    <row r="62" spans="1:7" x14ac:dyDescent="0.45">
      <c r="A62">
        <v>61</v>
      </c>
      <c r="B62" t="s">
        <v>74</v>
      </c>
      <c r="C62" t="s">
        <v>274</v>
      </c>
      <c r="D62">
        <v>6060</v>
      </c>
      <c r="E62" t="s">
        <v>129</v>
      </c>
      <c r="F62">
        <v>1132.83</v>
      </c>
      <c r="G62" t="s">
        <v>184</v>
      </c>
    </row>
    <row r="63" spans="1:7" x14ac:dyDescent="0.45">
      <c r="A63">
        <v>62</v>
      </c>
      <c r="B63" t="s">
        <v>74</v>
      </c>
      <c r="C63" t="s">
        <v>274</v>
      </c>
      <c r="D63">
        <v>7000</v>
      </c>
      <c r="E63" t="s">
        <v>133</v>
      </c>
      <c r="F63">
        <v>615.72</v>
      </c>
      <c r="G63" t="s">
        <v>184</v>
      </c>
    </row>
    <row r="64" spans="1:7" x14ac:dyDescent="0.45">
      <c r="A64">
        <v>63</v>
      </c>
      <c r="B64" t="s">
        <v>73</v>
      </c>
      <c r="C64" t="s">
        <v>274</v>
      </c>
      <c r="D64">
        <v>6070</v>
      </c>
      <c r="E64" t="s">
        <v>131</v>
      </c>
      <c r="F64">
        <v>3256.24</v>
      </c>
      <c r="G64" t="s">
        <v>184</v>
      </c>
    </row>
    <row r="65" spans="1:7" x14ac:dyDescent="0.45">
      <c r="A65">
        <v>64</v>
      </c>
      <c r="B65" t="s">
        <v>74</v>
      </c>
      <c r="C65" t="s">
        <v>274</v>
      </c>
      <c r="D65">
        <v>6070</v>
      </c>
      <c r="E65" t="s">
        <v>131</v>
      </c>
      <c r="F65">
        <v>2888.6</v>
      </c>
      <c r="G65" t="s">
        <v>184</v>
      </c>
    </row>
    <row r="66" spans="1:7" x14ac:dyDescent="0.45">
      <c r="A66">
        <v>65</v>
      </c>
      <c r="B66" t="s">
        <v>72</v>
      </c>
      <c r="C66" t="s">
        <v>321</v>
      </c>
      <c r="D66">
        <v>4010</v>
      </c>
      <c r="E66" t="s">
        <v>101</v>
      </c>
      <c r="F66">
        <v>41573.15</v>
      </c>
      <c r="G66" t="s">
        <v>185</v>
      </c>
    </row>
    <row r="67" spans="1:7" x14ac:dyDescent="0.45">
      <c r="A67">
        <v>66</v>
      </c>
      <c r="B67" t="s">
        <v>72</v>
      </c>
      <c r="C67" t="s">
        <v>321</v>
      </c>
      <c r="D67">
        <v>4020</v>
      </c>
      <c r="E67" t="s">
        <v>103</v>
      </c>
      <c r="F67">
        <v>33822.300000000003</v>
      </c>
      <c r="G67" t="s">
        <v>185</v>
      </c>
    </row>
    <row r="68" spans="1:7" x14ac:dyDescent="0.45">
      <c r="A68">
        <v>67</v>
      </c>
      <c r="B68" t="s">
        <v>72</v>
      </c>
      <c r="C68" t="s">
        <v>321</v>
      </c>
      <c r="D68">
        <v>4030</v>
      </c>
      <c r="E68" t="s">
        <v>105</v>
      </c>
      <c r="F68">
        <v>24954.28</v>
      </c>
      <c r="G68" t="s">
        <v>185</v>
      </c>
    </row>
    <row r="69" spans="1:7" x14ac:dyDescent="0.45">
      <c r="A69">
        <v>68</v>
      </c>
      <c r="B69" t="s">
        <v>72</v>
      </c>
      <c r="C69" t="s">
        <v>321</v>
      </c>
      <c r="D69">
        <v>6010</v>
      </c>
      <c r="E69" t="s">
        <v>119</v>
      </c>
      <c r="F69">
        <v>41687.699999999997</v>
      </c>
      <c r="G69" t="s">
        <v>185</v>
      </c>
    </row>
    <row r="70" spans="1:7" x14ac:dyDescent="0.45">
      <c r="A70">
        <v>69</v>
      </c>
      <c r="B70" t="s">
        <v>72</v>
      </c>
      <c r="C70" t="s">
        <v>321</v>
      </c>
      <c r="D70">
        <v>6020</v>
      </c>
      <c r="E70" t="s">
        <v>121</v>
      </c>
      <c r="F70">
        <v>5779.27</v>
      </c>
      <c r="G70" t="s">
        <v>185</v>
      </c>
    </row>
    <row r="71" spans="1:7" x14ac:dyDescent="0.45">
      <c r="A71">
        <v>70</v>
      </c>
      <c r="B71" t="s">
        <v>72</v>
      </c>
      <c r="C71" t="s">
        <v>321</v>
      </c>
      <c r="D71">
        <v>6030</v>
      </c>
      <c r="E71" t="s">
        <v>123</v>
      </c>
      <c r="F71">
        <v>6798.39</v>
      </c>
      <c r="G71" t="s">
        <v>185</v>
      </c>
    </row>
    <row r="72" spans="1:7" x14ac:dyDescent="0.45">
      <c r="A72">
        <v>71</v>
      </c>
      <c r="B72" t="s">
        <v>72</v>
      </c>
      <c r="C72" t="s">
        <v>321</v>
      </c>
      <c r="D72">
        <v>6040</v>
      </c>
      <c r="E72" t="s">
        <v>125</v>
      </c>
      <c r="F72">
        <v>3561.34</v>
      </c>
      <c r="G72" t="s">
        <v>185</v>
      </c>
    </row>
    <row r="73" spans="1:7" x14ac:dyDescent="0.45">
      <c r="A73">
        <v>72</v>
      </c>
      <c r="B73" t="s">
        <v>72</v>
      </c>
      <c r="C73" t="s">
        <v>321</v>
      </c>
      <c r="D73">
        <v>6050</v>
      </c>
      <c r="E73" t="s">
        <v>127</v>
      </c>
      <c r="F73">
        <v>1436.24</v>
      </c>
      <c r="G73" t="s">
        <v>185</v>
      </c>
    </row>
    <row r="74" spans="1:7" x14ac:dyDescent="0.45">
      <c r="A74">
        <v>73</v>
      </c>
      <c r="B74" t="s">
        <v>72</v>
      </c>
      <c r="C74" t="s">
        <v>321</v>
      </c>
      <c r="D74">
        <v>6060</v>
      </c>
      <c r="E74" t="s">
        <v>129</v>
      </c>
      <c r="F74">
        <v>2160.12</v>
      </c>
      <c r="G74" t="s">
        <v>185</v>
      </c>
    </row>
    <row r="75" spans="1:7" x14ac:dyDescent="0.45">
      <c r="A75">
        <v>74</v>
      </c>
      <c r="B75" t="s">
        <v>72</v>
      </c>
      <c r="C75" t="s">
        <v>321</v>
      </c>
      <c r="D75">
        <v>7000</v>
      </c>
      <c r="E75" t="s">
        <v>133</v>
      </c>
      <c r="F75">
        <v>1117.5</v>
      </c>
      <c r="G75" t="s">
        <v>185</v>
      </c>
    </row>
    <row r="76" spans="1:7" x14ac:dyDescent="0.45">
      <c r="A76">
        <v>75</v>
      </c>
      <c r="B76" t="s">
        <v>73</v>
      </c>
      <c r="C76" t="s">
        <v>321</v>
      </c>
      <c r="D76">
        <v>4010</v>
      </c>
      <c r="E76" t="s">
        <v>101</v>
      </c>
      <c r="F76">
        <v>23069.26</v>
      </c>
      <c r="G76" t="s">
        <v>185</v>
      </c>
    </row>
    <row r="77" spans="1:7" x14ac:dyDescent="0.45">
      <c r="A77">
        <v>76</v>
      </c>
      <c r="B77" t="s">
        <v>73</v>
      </c>
      <c r="C77" t="s">
        <v>321</v>
      </c>
      <c r="D77">
        <v>4020</v>
      </c>
      <c r="E77" t="s">
        <v>103</v>
      </c>
      <c r="F77">
        <v>19607.66</v>
      </c>
      <c r="G77" t="s">
        <v>185</v>
      </c>
    </row>
    <row r="78" spans="1:7" x14ac:dyDescent="0.45">
      <c r="A78">
        <v>77</v>
      </c>
      <c r="B78" t="s">
        <v>73</v>
      </c>
      <c r="C78" t="s">
        <v>321</v>
      </c>
      <c r="D78">
        <v>4030</v>
      </c>
      <c r="E78" t="s">
        <v>105</v>
      </c>
      <c r="F78">
        <v>14150.32</v>
      </c>
      <c r="G78" t="s">
        <v>185</v>
      </c>
    </row>
    <row r="79" spans="1:7" x14ac:dyDescent="0.45">
      <c r="A79">
        <v>78</v>
      </c>
      <c r="B79" t="s">
        <v>73</v>
      </c>
      <c r="C79" t="s">
        <v>321</v>
      </c>
      <c r="D79">
        <v>6010</v>
      </c>
      <c r="E79" t="s">
        <v>119</v>
      </c>
      <c r="F79">
        <v>25310.5</v>
      </c>
      <c r="G79" t="s">
        <v>185</v>
      </c>
    </row>
    <row r="80" spans="1:7" x14ac:dyDescent="0.45">
      <c r="A80">
        <v>79</v>
      </c>
      <c r="B80" t="s">
        <v>73</v>
      </c>
      <c r="C80" t="s">
        <v>321</v>
      </c>
      <c r="D80">
        <v>6020</v>
      </c>
      <c r="E80" t="s">
        <v>121</v>
      </c>
      <c r="F80">
        <v>3554.86</v>
      </c>
      <c r="G80" t="s">
        <v>185</v>
      </c>
    </row>
    <row r="81" spans="1:7" x14ac:dyDescent="0.45">
      <c r="A81">
        <v>80</v>
      </c>
      <c r="B81" t="s">
        <v>73</v>
      </c>
      <c r="C81" t="s">
        <v>321</v>
      </c>
      <c r="D81">
        <v>6030</v>
      </c>
      <c r="E81" t="s">
        <v>123</v>
      </c>
      <c r="F81">
        <v>4279.87</v>
      </c>
      <c r="G81" t="s">
        <v>185</v>
      </c>
    </row>
    <row r="82" spans="1:7" x14ac:dyDescent="0.45">
      <c r="A82">
        <v>81</v>
      </c>
      <c r="B82" t="s">
        <v>73</v>
      </c>
      <c r="C82" t="s">
        <v>321</v>
      </c>
      <c r="D82">
        <v>6040</v>
      </c>
      <c r="E82" t="s">
        <v>125</v>
      </c>
      <c r="F82">
        <v>2131.67</v>
      </c>
      <c r="G82" t="s">
        <v>185</v>
      </c>
    </row>
    <row r="83" spans="1:7" x14ac:dyDescent="0.45">
      <c r="A83">
        <v>82</v>
      </c>
      <c r="B83" t="s">
        <v>73</v>
      </c>
      <c r="C83" t="s">
        <v>321</v>
      </c>
      <c r="D83">
        <v>6050</v>
      </c>
      <c r="E83" t="s">
        <v>127</v>
      </c>
      <c r="F83">
        <v>896.2</v>
      </c>
      <c r="G83" t="s">
        <v>185</v>
      </c>
    </row>
    <row r="84" spans="1:7" x14ac:dyDescent="0.45">
      <c r="A84">
        <v>83</v>
      </c>
      <c r="B84" t="s">
        <v>73</v>
      </c>
      <c r="C84" t="s">
        <v>321</v>
      </c>
      <c r="D84">
        <v>6060</v>
      </c>
      <c r="E84" t="s">
        <v>129</v>
      </c>
      <c r="F84">
        <v>1270.07</v>
      </c>
      <c r="G84" t="s">
        <v>185</v>
      </c>
    </row>
    <row r="85" spans="1:7" x14ac:dyDescent="0.45">
      <c r="A85">
        <v>84</v>
      </c>
      <c r="B85" t="s">
        <v>73</v>
      </c>
      <c r="C85" t="s">
        <v>321</v>
      </c>
      <c r="D85">
        <v>7000</v>
      </c>
      <c r="E85" t="s">
        <v>133</v>
      </c>
      <c r="F85">
        <v>678.77</v>
      </c>
      <c r="G85" t="s">
        <v>185</v>
      </c>
    </row>
    <row r="86" spans="1:7" x14ac:dyDescent="0.45">
      <c r="A86">
        <v>85</v>
      </c>
      <c r="B86" t="s">
        <v>74</v>
      </c>
      <c r="C86" t="s">
        <v>321</v>
      </c>
      <c r="D86">
        <v>4010</v>
      </c>
      <c r="E86" t="s">
        <v>101</v>
      </c>
      <c r="F86">
        <v>23938.73</v>
      </c>
      <c r="G86" t="s">
        <v>185</v>
      </c>
    </row>
    <row r="87" spans="1:7" x14ac:dyDescent="0.45">
      <c r="A87">
        <v>86</v>
      </c>
      <c r="B87" t="s">
        <v>74</v>
      </c>
      <c r="C87" t="s">
        <v>321</v>
      </c>
      <c r="D87">
        <v>4020</v>
      </c>
      <c r="E87" t="s">
        <v>103</v>
      </c>
      <c r="F87">
        <v>19654.75</v>
      </c>
      <c r="G87" t="s">
        <v>185</v>
      </c>
    </row>
    <row r="88" spans="1:7" x14ac:dyDescent="0.45">
      <c r="A88">
        <v>87</v>
      </c>
      <c r="B88" t="s">
        <v>74</v>
      </c>
      <c r="C88" t="s">
        <v>321</v>
      </c>
      <c r="D88">
        <v>4030</v>
      </c>
      <c r="E88" t="s">
        <v>105</v>
      </c>
      <c r="F88">
        <v>14730.06</v>
      </c>
      <c r="G88" t="s">
        <v>185</v>
      </c>
    </row>
    <row r="89" spans="1:7" x14ac:dyDescent="0.45">
      <c r="A89">
        <v>88</v>
      </c>
      <c r="B89" t="s">
        <v>74</v>
      </c>
      <c r="C89" t="s">
        <v>321</v>
      </c>
      <c r="D89">
        <v>6010</v>
      </c>
      <c r="E89" t="s">
        <v>119</v>
      </c>
      <c r="F89">
        <v>23230.58</v>
      </c>
      <c r="G89" t="s">
        <v>185</v>
      </c>
    </row>
    <row r="90" spans="1:7" x14ac:dyDescent="0.45">
      <c r="A90">
        <v>89</v>
      </c>
      <c r="B90" t="s">
        <v>74</v>
      </c>
      <c r="C90" t="s">
        <v>321</v>
      </c>
      <c r="D90">
        <v>6020</v>
      </c>
      <c r="E90" t="s">
        <v>121</v>
      </c>
      <c r="F90">
        <v>3245.98</v>
      </c>
      <c r="G90" t="s">
        <v>185</v>
      </c>
    </row>
    <row r="91" spans="1:7" x14ac:dyDescent="0.45">
      <c r="A91">
        <v>90</v>
      </c>
      <c r="B91" t="s">
        <v>74</v>
      </c>
      <c r="C91" t="s">
        <v>321</v>
      </c>
      <c r="D91">
        <v>6030</v>
      </c>
      <c r="E91" t="s">
        <v>123</v>
      </c>
      <c r="F91">
        <v>3782.99</v>
      </c>
      <c r="G91" t="s">
        <v>185</v>
      </c>
    </row>
    <row r="92" spans="1:7" x14ac:dyDescent="0.45">
      <c r="A92">
        <v>91</v>
      </c>
      <c r="B92" t="s">
        <v>74</v>
      </c>
      <c r="C92" t="s">
        <v>321</v>
      </c>
      <c r="D92">
        <v>6040</v>
      </c>
      <c r="E92" t="s">
        <v>125</v>
      </c>
      <c r="F92">
        <v>1831.91</v>
      </c>
      <c r="G92" t="s">
        <v>185</v>
      </c>
    </row>
    <row r="93" spans="1:7" x14ac:dyDescent="0.45">
      <c r="A93">
        <v>92</v>
      </c>
      <c r="B93" t="s">
        <v>74</v>
      </c>
      <c r="C93" t="s">
        <v>321</v>
      </c>
      <c r="D93">
        <v>6050</v>
      </c>
      <c r="E93" t="s">
        <v>127</v>
      </c>
      <c r="F93">
        <v>802</v>
      </c>
      <c r="G93" t="s">
        <v>185</v>
      </c>
    </row>
    <row r="94" spans="1:7" x14ac:dyDescent="0.45">
      <c r="A94">
        <v>93</v>
      </c>
      <c r="B94" t="s">
        <v>74</v>
      </c>
      <c r="C94" t="s">
        <v>321</v>
      </c>
      <c r="D94">
        <v>6060</v>
      </c>
      <c r="E94" t="s">
        <v>129</v>
      </c>
      <c r="F94">
        <v>1132.3399999999999</v>
      </c>
      <c r="G94" t="s">
        <v>185</v>
      </c>
    </row>
    <row r="95" spans="1:7" x14ac:dyDescent="0.45">
      <c r="A95">
        <v>94</v>
      </c>
      <c r="B95" t="s">
        <v>74</v>
      </c>
      <c r="C95" t="s">
        <v>321</v>
      </c>
      <c r="D95">
        <v>7000</v>
      </c>
      <c r="E95" t="s">
        <v>133</v>
      </c>
      <c r="F95">
        <v>603.41999999999996</v>
      </c>
      <c r="G95" t="s">
        <v>185</v>
      </c>
    </row>
    <row r="96" spans="1:7" x14ac:dyDescent="0.45">
      <c r="A96">
        <v>95</v>
      </c>
      <c r="B96" t="s">
        <v>73</v>
      </c>
      <c r="C96" t="s">
        <v>321</v>
      </c>
      <c r="D96">
        <v>6070</v>
      </c>
      <c r="E96" t="s">
        <v>131</v>
      </c>
      <c r="F96">
        <v>3288.48</v>
      </c>
      <c r="G96" t="s">
        <v>185</v>
      </c>
    </row>
    <row r="97" spans="1:7" x14ac:dyDescent="0.45">
      <c r="A97">
        <v>96</v>
      </c>
      <c r="B97" t="s">
        <v>74</v>
      </c>
      <c r="C97" t="s">
        <v>321</v>
      </c>
      <c r="D97">
        <v>6070</v>
      </c>
      <c r="E97" t="s">
        <v>131</v>
      </c>
      <c r="F97">
        <v>2917.2</v>
      </c>
      <c r="G97" t="s">
        <v>185</v>
      </c>
    </row>
    <row r="98" spans="1:7" x14ac:dyDescent="0.45">
      <c r="A98">
        <v>97</v>
      </c>
      <c r="B98" t="s">
        <v>72</v>
      </c>
      <c r="C98" t="s">
        <v>367</v>
      </c>
      <c r="D98">
        <v>4010</v>
      </c>
      <c r="E98" t="s">
        <v>101</v>
      </c>
      <c r="F98">
        <v>41039.67</v>
      </c>
      <c r="G98" t="s">
        <v>186</v>
      </c>
    </row>
    <row r="99" spans="1:7" x14ac:dyDescent="0.45">
      <c r="A99">
        <v>98</v>
      </c>
      <c r="B99" t="s">
        <v>72</v>
      </c>
      <c r="C99" t="s">
        <v>367</v>
      </c>
      <c r="D99">
        <v>4020</v>
      </c>
      <c r="E99" t="s">
        <v>103</v>
      </c>
      <c r="F99">
        <v>32000.28</v>
      </c>
      <c r="G99" t="s">
        <v>186</v>
      </c>
    </row>
    <row r="100" spans="1:7" x14ac:dyDescent="0.45">
      <c r="A100">
        <v>99</v>
      </c>
      <c r="B100" t="s">
        <v>72</v>
      </c>
      <c r="C100" t="s">
        <v>367</v>
      </c>
      <c r="D100">
        <v>4030</v>
      </c>
      <c r="E100" t="s">
        <v>105</v>
      </c>
      <c r="F100">
        <v>22783.53</v>
      </c>
      <c r="G100" t="s">
        <v>186</v>
      </c>
    </row>
    <row r="101" spans="1:7" x14ac:dyDescent="0.45">
      <c r="A101">
        <v>100</v>
      </c>
      <c r="B101" t="s">
        <v>72</v>
      </c>
      <c r="C101" t="s">
        <v>367</v>
      </c>
      <c r="D101">
        <v>6010</v>
      </c>
      <c r="E101" t="s">
        <v>119</v>
      </c>
      <c r="F101">
        <v>41581.14</v>
      </c>
      <c r="G101" t="s">
        <v>186</v>
      </c>
    </row>
    <row r="102" spans="1:7" x14ac:dyDescent="0.45">
      <c r="A102">
        <v>101</v>
      </c>
      <c r="B102" t="s">
        <v>72</v>
      </c>
      <c r="C102" t="s">
        <v>367</v>
      </c>
      <c r="D102">
        <v>6020</v>
      </c>
      <c r="E102" t="s">
        <v>121</v>
      </c>
      <c r="F102">
        <v>6039.59</v>
      </c>
      <c r="G102" t="s">
        <v>186</v>
      </c>
    </row>
    <row r="103" spans="1:7" x14ac:dyDescent="0.45">
      <c r="A103">
        <v>102</v>
      </c>
      <c r="B103" t="s">
        <v>72</v>
      </c>
      <c r="C103" t="s">
        <v>367</v>
      </c>
      <c r="D103">
        <v>6030</v>
      </c>
      <c r="E103" t="s">
        <v>123</v>
      </c>
      <c r="F103">
        <v>7004.29</v>
      </c>
      <c r="G103" t="s">
        <v>186</v>
      </c>
    </row>
    <row r="104" spans="1:7" x14ac:dyDescent="0.45">
      <c r="A104">
        <v>103</v>
      </c>
      <c r="B104" t="s">
        <v>72</v>
      </c>
      <c r="C104" t="s">
        <v>367</v>
      </c>
      <c r="D104">
        <v>6040</v>
      </c>
      <c r="E104" t="s">
        <v>125</v>
      </c>
      <c r="F104">
        <v>3005.96</v>
      </c>
      <c r="G104" t="s">
        <v>186</v>
      </c>
    </row>
    <row r="105" spans="1:7" x14ac:dyDescent="0.45">
      <c r="A105">
        <v>104</v>
      </c>
      <c r="B105" t="s">
        <v>72</v>
      </c>
      <c r="C105" t="s">
        <v>367</v>
      </c>
      <c r="D105">
        <v>6050</v>
      </c>
      <c r="E105" t="s">
        <v>127</v>
      </c>
      <c r="F105">
        <v>1458.06</v>
      </c>
      <c r="G105" t="s">
        <v>186</v>
      </c>
    </row>
    <row r="106" spans="1:7" x14ac:dyDescent="0.45">
      <c r="A106">
        <v>105</v>
      </c>
      <c r="B106" t="s">
        <v>72</v>
      </c>
      <c r="C106" t="s">
        <v>367</v>
      </c>
      <c r="D106">
        <v>6060</v>
      </c>
      <c r="E106" t="s">
        <v>129</v>
      </c>
      <c r="F106">
        <v>2186.5700000000002</v>
      </c>
      <c r="G106" t="s">
        <v>186</v>
      </c>
    </row>
    <row r="107" spans="1:7" x14ac:dyDescent="0.45">
      <c r="A107">
        <v>106</v>
      </c>
      <c r="B107" t="s">
        <v>72</v>
      </c>
      <c r="C107" t="s">
        <v>367</v>
      </c>
      <c r="D107">
        <v>7000</v>
      </c>
      <c r="E107" t="s">
        <v>133</v>
      </c>
      <c r="F107">
        <v>1084.72</v>
      </c>
      <c r="G107" t="s">
        <v>186</v>
      </c>
    </row>
    <row r="108" spans="1:7" x14ac:dyDescent="0.45">
      <c r="A108">
        <v>107</v>
      </c>
      <c r="B108" t="s">
        <v>73</v>
      </c>
      <c r="C108" t="s">
        <v>367</v>
      </c>
      <c r="D108">
        <v>4010</v>
      </c>
      <c r="E108" t="s">
        <v>101</v>
      </c>
      <c r="F108">
        <v>26075.15</v>
      </c>
      <c r="G108" t="s">
        <v>186</v>
      </c>
    </row>
    <row r="109" spans="1:7" x14ac:dyDescent="0.45">
      <c r="A109">
        <v>108</v>
      </c>
      <c r="B109" t="s">
        <v>73</v>
      </c>
      <c r="C109" t="s">
        <v>367</v>
      </c>
      <c r="D109">
        <v>4020</v>
      </c>
      <c r="E109" t="s">
        <v>103</v>
      </c>
      <c r="F109">
        <v>20985.78</v>
      </c>
      <c r="G109" t="s">
        <v>186</v>
      </c>
    </row>
    <row r="110" spans="1:7" x14ac:dyDescent="0.45">
      <c r="A110">
        <v>109</v>
      </c>
      <c r="B110" t="s">
        <v>73</v>
      </c>
      <c r="C110" t="s">
        <v>367</v>
      </c>
      <c r="D110">
        <v>4030</v>
      </c>
      <c r="E110" t="s">
        <v>105</v>
      </c>
      <c r="F110">
        <v>15506.68</v>
      </c>
      <c r="G110" t="s">
        <v>186</v>
      </c>
    </row>
    <row r="111" spans="1:7" x14ac:dyDescent="0.45">
      <c r="A111">
        <v>110</v>
      </c>
      <c r="B111" t="s">
        <v>73</v>
      </c>
      <c r="C111" t="s">
        <v>367</v>
      </c>
      <c r="D111">
        <v>6010</v>
      </c>
      <c r="E111" t="s">
        <v>119</v>
      </c>
      <c r="F111">
        <v>25971.9</v>
      </c>
      <c r="G111" t="s">
        <v>186</v>
      </c>
    </row>
    <row r="112" spans="1:7" x14ac:dyDescent="0.45">
      <c r="A112">
        <v>111</v>
      </c>
      <c r="B112" t="s">
        <v>73</v>
      </c>
      <c r="C112" t="s">
        <v>367</v>
      </c>
      <c r="D112">
        <v>6020</v>
      </c>
      <c r="E112" t="s">
        <v>121</v>
      </c>
      <c r="F112">
        <v>3579.9</v>
      </c>
      <c r="G112" t="s">
        <v>186</v>
      </c>
    </row>
    <row r="113" spans="1:7" x14ac:dyDescent="0.45">
      <c r="A113">
        <v>112</v>
      </c>
      <c r="B113" t="s">
        <v>73</v>
      </c>
      <c r="C113" t="s">
        <v>367</v>
      </c>
      <c r="D113">
        <v>6030</v>
      </c>
      <c r="E113" t="s">
        <v>123</v>
      </c>
      <c r="F113">
        <v>4352.6899999999996</v>
      </c>
      <c r="G113" t="s">
        <v>186</v>
      </c>
    </row>
    <row r="114" spans="1:7" x14ac:dyDescent="0.45">
      <c r="A114">
        <v>113</v>
      </c>
      <c r="B114" t="s">
        <v>73</v>
      </c>
      <c r="C114" t="s">
        <v>367</v>
      </c>
      <c r="D114">
        <v>6040</v>
      </c>
      <c r="E114" t="s">
        <v>125</v>
      </c>
      <c r="F114">
        <v>2359.11</v>
      </c>
      <c r="G114" t="s">
        <v>186</v>
      </c>
    </row>
    <row r="115" spans="1:7" x14ac:dyDescent="0.45">
      <c r="A115">
        <v>114</v>
      </c>
      <c r="B115" t="s">
        <v>73</v>
      </c>
      <c r="C115" t="s">
        <v>367</v>
      </c>
      <c r="D115">
        <v>6050</v>
      </c>
      <c r="E115" t="s">
        <v>127</v>
      </c>
      <c r="F115">
        <v>910.93</v>
      </c>
      <c r="G115" t="s">
        <v>186</v>
      </c>
    </row>
    <row r="116" spans="1:7" x14ac:dyDescent="0.45">
      <c r="A116">
        <v>115</v>
      </c>
      <c r="B116" t="s">
        <v>73</v>
      </c>
      <c r="C116" t="s">
        <v>367</v>
      </c>
      <c r="D116">
        <v>6060</v>
      </c>
      <c r="E116" t="s">
        <v>129</v>
      </c>
      <c r="F116">
        <v>1315.25</v>
      </c>
      <c r="G116" t="s">
        <v>186</v>
      </c>
    </row>
    <row r="117" spans="1:7" x14ac:dyDescent="0.45">
      <c r="A117">
        <v>116</v>
      </c>
      <c r="B117" t="s">
        <v>73</v>
      </c>
      <c r="C117" t="s">
        <v>367</v>
      </c>
      <c r="D117">
        <v>7000</v>
      </c>
      <c r="E117" t="s">
        <v>133</v>
      </c>
      <c r="F117">
        <v>669.94</v>
      </c>
      <c r="G117" t="s">
        <v>186</v>
      </c>
    </row>
    <row r="118" spans="1:7" x14ac:dyDescent="0.45">
      <c r="A118">
        <v>117</v>
      </c>
      <c r="B118" t="s">
        <v>74</v>
      </c>
      <c r="C118" t="s">
        <v>367</v>
      </c>
      <c r="D118">
        <v>4010</v>
      </c>
      <c r="E118" t="s">
        <v>101</v>
      </c>
      <c r="F118">
        <v>24662.59</v>
      </c>
      <c r="G118" t="s">
        <v>186</v>
      </c>
    </row>
    <row r="119" spans="1:7" x14ac:dyDescent="0.45">
      <c r="A119">
        <v>118</v>
      </c>
      <c r="B119" t="s">
        <v>74</v>
      </c>
      <c r="C119" t="s">
        <v>367</v>
      </c>
      <c r="D119">
        <v>4020</v>
      </c>
      <c r="E119" t="s">
        <v>103</v>
      </c>
      <c r="F119">
        <v>17748.97</v>
      </c>
      <c r="G119" t="s">
        <v>186</v>
      </c>
    </row>
    <row r="120" spans="1:7" x14ac:dyDescent="0.45">
      <c r="A120">
        <v>119</v>
      </c>
      <c r="B120" t="s">
        <v>74</v>
      </c>
      <c r="C120" t="s">
        <v>367</v>
      </c>
      <c r="D120">
        <v>4030</v>
      </c>
      <c r="E120" t="s">
        <v>105</v>
      </c>
      <c r="F120">
        <v>14019.73</v>
      </c>
      <c r="G120" t="s">
        <v>186</v>
      </c>
    </row>
    <row r="121" spans="1:7" x14ac:dyDescent="0.45">
      <c r="A121">
        <v>120</v>
      </c>
      <c r="B121" t="s">
        <v>74</v>
      </c>
      <c r="C121" t="s">
        <v>367</v>
      </c>
      <c r="D121">
        <v>6010</v>
      </c>
      <c r="E121" t="s">
        <v>119</v>
      </c>
      <c r="F121">
        <v>23549.4</v>
      </c>
      <c r="G121" t="s">
        <v>186</v>
      </c>
    </row>
    <row r="122" spans="1:7" x14ac:dyDescent="0.45">
      <c r="A122">
        <v>121</v>
      </c>
      <c r="B122" t="s">
        <v>74</v>
      </c>
      <c r="C122" t="s">
        <v>367</v>
      </c>
      <c r="D122">
        <v>6020</v>
      </c>
      <c r="E122" t="s">
        <v>121</v>
      </c>
      <c r="F122">
        <v>3297.77</v>
      </c>
      <c r="G122" t="s">
        <v>186</v>
      </c>
    </row>
    <row r="123" spans="1:7" x14ac:dyDescent="0.45">
      <c r="A123">
        <v>122</v>
      </c>
      <c r="B123" t="s">
        <v>74</v>
      </c>
      <c r="C123" t="s">
        <v>367</v>
      </c>
      <c r="D123">
        <v>6030</v>
      </c>
      <c r="E123" t="s">
        <v>123</v>
      </c>
      <c r="F123">
        <v>3739.67</v>
      </c>
      <c r="G123" t="s">
        <v>186</v>
      </c>
    </row>
    <row r="124" spans="1:7" x14ac:dyDescent="0.45">
      <c r="A124">
        <v>123</v>
      </c>
      <c r="B124" t="s">
        <v>74</v>
      </c>
      <c r="C124" t="s">
        <v>367</v>
      </c>
      <c r="D124">
        <v>6040</v>
      </c>
      <c r="E124" t="s">
        <v>125</v>
      </c>
      <c r="F124">
        <v>1909.7</v>
      </c>
      <c r="G124" t="s">
        <v>186</v>
      </c>
    </row>
    <row r="125" spans="1:7" x14ac:dyDescent="0.45">
      <c r="A125">
        <v>124</v>
      </c>
      <c r="B125" t="s">
        <v>74</v>
      </c>
      <c r="C125" t="s">
        <v>367</v>
      </c>
      <c r="D125">
        <v>6050</v>
      </c>
      <c r="E125" t="s">
        <v>127</v>
      </c>
      <c r="F125">
        <v>799.09</v>
      </c>
      <c r="G125" t="s">
        <v>186</v>
      </c>
    </row>
    <row r="126" spans="1:7" x14ac:dyDescent="0.45">
      <c r="A126">
        <v>125</v>
      </c>
      <c r="B126" t="s">
        <v>74</v>
      </c>
      <c r="C126" t="s">
        <v>367</v>
      </c>
      <c r="D126">
        <v>6060</v>
      </c>
      <c r="E126" t="s">
        <v>129</v>
      </c>
      <c r="F126">
        <v>1161.7</v>
      </c>
      <c r="G126" t="s">
        <v>186</v>
      </c>
    </row>
    <row r="127" spans="1:7" x14ac:dyDescent="0.45">
      <c r="A127">
        <v>126</v>
      </c>
      <c r="B127" t="s">
        <v>74</v>
      </c>
      <c r="C127" t="s">
        <v>367</v>
      </c>
      <c r="D127">
        <v>7000</v>
      </c>
      <c r="E127" t="s">
        <v>133</v>
      </c>
      <c r="F127">
        <v>614.01</v>
      </c>
      <c r="G127" t="s">
        <v>186</v>
      </c>
    </row>
    <row r="128" spans="1:7" x14ac:dyDescent="0.45">
      <c r="A128">
        <v>127</v>
      </c>
      <c r="B128" t="s">
        <v>73</v>
      </c>
      <c r="C128" t="s">
        <v>367</v>
      </c>
      <c r="D128">
        <v>6070</v>
      </c>
      <c r="E128" t="s">
        <v>131</v>
      </c>
      <c r="F128">
        <v>3320.72</v>
      </c>
      <c r="G128" t="s">
        <v>186</v>
      </c>
    </row>
    <row r="129" spans="1:7" x14ac:dyDescent="0.45">
      <c r="A129">
        <v>128</v>
      </c>
      <c r="B129" t="s">
        <v>74</v>
      </c>
      <c r="C129" t="s">
        <v>367</v>
      </c>
      <c r="D129">
        <v>6070</v>
      </c>
      <c r="E129" t="s">
        <v>131</v>
      </c>
      <c r="F129">
        <v>2945.8</v>
      </c>
      <c r="G129" t="s">
        <v>186</v>
      </c>
    </row>
    <row r="130" spans="1:7" x14ac:dyDescent="0.45">
      <c r="A130">
        <v>129</v>
      </c>
      <c r="B130" t="s">
        <v>72</v>
      </c>
      <c r="C130" t="s">
        <v>414</v>
      </c>
      <c r="D130">
        <v>4010</v>
      </c>
      <c r="E130" t="s">
        <v>101</v>
      </c>
      <c r="F130">
        <v>38251.620000000003</v>
      </c>
      <c r="G130" t="s">
        <v>187</v>
      </c>
    </row>
    <row r="131" spans="1:7" x14ac:dyDescent="0.45">
      <c r="A131">
        <v>130</v>
      </c>
      <c r="B131" t="s">
        <v>72</v>
      </c>
      <c r="C131" t="s">
        <v>414</v>
      </c>
      <c r="D131">
        <v>4020</v>
      </c>
      <c r="E131" t="s">
        <v>103</v>
      </c>
      <c r="F131">
        <v>31089.65</v>
      </c>
      <c r="G131" t="s">
        <v>187</v>
      </c>
    </row>
    <row r="132" spans="1:7" x14ac:dyDescent="0.45">
      <c r="A132">
        <v>131</v>
      </c>
      <c r="B132" t="s">
        <v>72</v>
      </c>
      <c r="C132" t="s">
        <v>414</v>
      </c>
      <c r="D132">
        <v>4030</v>
      </c>
      <c r="E132" t="s">
        <v>105</v>
      </c>
      <c r="F132">
        <v>24009.1</v>
      </c>
      <c r="G132" t="s">
        <v>187</v>
      </c>
    </row>
    <row r="133" spans="1:7" x14ac:dyDescent="0.45">
      <c r="A133">
        <v>132</v>
      </c>
      <c r="B133" t="s">
        <v>72</v>
      </c>
      <c r="C133" t="s">
        <v>414</v>
      </c>
      <c r="D133">
        <v>6010</v>
      </c>
      <c r="E133" t="s">
        <v>119</v>
      </c>
      <c r="F133">
        <v>42348.65</v>
      </c>
      <c r="G133" t="s">
        <v>187</v>
      </c>
    </row>
    <row r="134" spans="1:7" x14ac:dyDescent="0.45">
      <c r="A134">
        <v>133</v>
      </c>
      <c r="B134" t="s">
        <v>72</v>
      </c>
      <c r="C134" t="s">
        <v>414</v>
      </c>
      <c r="D134">
        <v>6020</v>
      </c>
      <c r="E134" t="s">
        <v>121</v>
      </c>
      <c r="F134">
        <v>6134.37</v>
      </c>
      <c r="G134" t="s">
        <v>187</v>
      </c>
    </row>
    <row r="135" spans="1:7" x14ac:dyDescent="0.45">
      <c r="A135">
        <v>134</v>
      </c>
      <c r="B135" t="s">
        <v>72</v>
      </c>
      <c r="C135" t="s">
        <v>414</v>
      </c>
      <c r="D135">
        <v>6030</v>
      </c>
      <c r="E135" t="s">
        <v>123</v>
      </c>
      <c r="F135">
        <v>6977.58</v>
      </c>
      <c r="G135" t="s">
        <v>187</v>
      </c>
    </row>
    <row r="136" spans="1:7" x14ac:dyDescent="0.45">
      <c r="A136">
        <v>135</v>
      </c>
      <c r="B136" t="s">
        <v>72</v>
      </c>
      <c r="C136" t="s">
        <v>414</v>
      </c>
      <c r="D136">
        <v>6040</v>
      </c>
      <c r="E136" t="s">
        <v>125</v>
      </c>
      <c r="F136">
        <v>3118.88</v>
      </c>
      <c r="G136" t="s">
        <v>187</v>
      </c>
    </row>
    <row r="137" spans="1:7" x14ac:dyDescent="0.45">
      <c r="A137">
        <v>136</v>
      </c>
      <c r="B137" t="s">
        <v>72</v>
      </c>
      <c r="C137" t="s">
        <v>414</v>
      </c>
      <c r="D137">
        <v>6050</v>
      </c>
      <c r="E137" t="s">
        <v>127</v>
      </c>
      <c r="F137">
        <v>1451.02</v>
      </c>
      <c r="G137" t="s">
        <v>187</v>
      </c>
    </row>
    <row r="138" spans="1:7" x14ac:dyDescent="0.45">
      <c r="A138">
        <v>137</v>
      </c>
      <c r="B138" t="s">
        <v>72</v>
      </c>
      <c r="C138" t="s">
        <v>414</v>
      </c>
      <c r="D138">
        <v>6060</v>
      </c>
      <c r="E138" t="s">
        <v>129</v>
      </c>
      <c r="F138">
        <v>2101.23</v>
      </c>
      <c r="G138" t="s">
        <v>187</v>
      </c>
    </row>
    <row r="139" spans="1:7" x14ac:dyDescent="0.45">
      <c r="A139">
        <v>138</v>
      </c>
      <c r="B139" t="s">
        <v>72</v>
      </c>
      <c r="C139" t="s">
        <v>414</v>
      </c>
      <c r="D139">
        <v>7000</v>
      </c>
      <c r="E139" t="s">
        <v>133</v>
      </c>
      <c r="F139">
        <v>1087.8900000000001</v>
      </c>
      <c r="G139" t="s">
        <v>187</v>
      </c>
    </row>
    <row r="140" spans="1:7" x14ac:dyDescent="0.45">
      <c r="A140">
        <v>139</v>
      </c>
      <c r="B140" t="s">
        <v>73</v>
      </c>
      <c r="C140" t="s">
        <v>414</v>
      </c>
      <c r="D140">
        <v>4010</v>
      </c>
      <c r="E140" t="s">
        <v>101</v>
      </c>
      <c r="F140">
        <v>24190.22</v>
      </c>
      <c r="G140" t="s">
        <v>187</v>
      </c>
    </row>
    <row r="141" spans="1:7" x14ac:dyDescent="0.45">
      <c r="A141">
        <v>140</v>
      </c>
      <c r="B141" t="s">
        <v>73</v>
      </c>
      <c r="C141" t="s">
        <v>414</v>
      </c>
      <c r="D141">
        <v>4020</v>
      </c>
      <c r="E141" t="s">
        <v>103</v>
      </c>
      <c r="F141">
        <v>18318.11</v>
      </c>
      <c r="G141" t="s">
        <v>187</v>
      </c>
    </row>
    <row r="142" spans="1:7" x14ac:dyDescent="0.45">
      <c r="A142">
        <v>141</v>
      </c>
      <c r="B142" t="s">
        <v>73</v>
      </c>
      <c r="C142" t="s">
        <v>414</v>
      </c>
      <c r="D142">
        <v>4030</v>
      </c>
      <c r="E142" t="s">
        <v>105</v>
      </c>
      <c r="F142">
        <v>13862.95</v>
      </c>
      <c r="G142" t="s">
        <v>187</v>
      </c>
    </row>
    <row r="143" spans="1:7" x14ac:dyDescent="0.45">
      <c r="A143">
        <v>142</v>
      </c>
      <c r="B143" t="s">
        <v>73</v>
      </c>
      <c r="C143" t="s">
        <v>414</v>
      </c>
      <c r="D143">
        <v>6010</v>
      </c>
      <c r="E143" t="s">
        <v>119</v>
      </c>
      <c r="F143">
        <v>26681.59</v>
      </c>
      <c r="G143" t="s">
        <v>187</v>
      </c>
    </row>
    <row r="144" spans="1:7" x14ac:dyDescent="0.45">
      <c r="A144">
        <v>143</v>
      </c>
      <c r="B144" t="s">
        <v>73</v>
      </c>
      <c r="C144" t="s">
        <v>414</v>
      </c>
      <c r="D144">
        <v>6020</v>
      </c>
      <c r="E144" t="s">
        <v>121</v>
      </c>
      <c r="F144">
        <v>3660.42</v>
      </c>
      <c r="G144" t="s">
        <v>187</v>
      </c>
    </row>
    <row r="145" spans="1:7" x14ac:dyDescent="0.45">
      <c r="A145">
        <v>144</v>
      </c>
      <c r="B145" t="s">
        <v>73</v>
      </c>
      <c r="C145" t="s">
        <v>414</v>
      </c>
      <c r="D145">
        <v>6030</v>
      </c>
      <c r="E145" t="s">
        <v>123</v>
      </c>
      <c r="F145">
        <v>4370.0600000000004</v>
      </c>
      <c r="G145" t="s">
        <v>187</v>
      </c>
    </row>
    <row r="146" spans="1:7" x14ac:dyDescent="0.45">
      <c r="A146">
        <v>145</v>
      </c>
      <c r="B146" t="s">
        <v>73</v>
      </c>
      <c r="C146" t="s">
        <v>414</v>
      </c>
      <c r="D146">
        <v>6040</v>
      </c>
      <c r="E146" t="s">
        <v>125</v>
      </c>
      <c r="F146">
        <v>2141.7399999999998</v>
      </c>
      <c r="G146" t="s">
        <v>187</v>
      </c>
    </row>
    <row r="147" spans="1:7" x14ac:dyDescent="0.45">
      <c r="A147">
        <v>146</v>
      </c>
      <c r="B147" t="s">
        <v>73</v>
      </c>
      <c r="C147" t="s">
        <v>414</v>
      </c>
      <c r="D147">
        <v>6050</v>
      </c>
      <c r="E147" t="s">
        <v>127</v>
      </c>
      <c r="F147">
        <v>883.57</v>
      </c>
      <c r="G147" t="s">
        <v>187</v>
      </c>
    </row>
    <row r="148" spans="1:7" x14ac:dyDescent="0.45">
      <c r="A148">
        <v>147</v>
      </c>
      <c r="B148" t="s">
        <v>73</v>
      </c>
      <c r="C148" t="s">
        <v>414</v>
      </c>
      <c r="D148">
        <v>6060</v>
      </c>
      <c r="E148" t="s">
        <v>129</v>
      </c>
      <c r="F148">
        <v>1318.6</v>
      </c>
      <c r="G148" t="s">
        <v>187</v>
      </c>
    </row>
    <row r="149" spans="1:7" x14ac:dyDescent="0.45">
      <c r="A149">
        <v>148</v>
      </c>
      <c r="B149" t="s">
        <v>73</v>
      </c>
      <c r="C149" t="s">
        <v>414</v>
      </c>
      <c r="D149">
        <v>7000</v>
      </c>
      <c r="E149" t="s">
        <v>133</v>
      </c>
      <c r="F149">
        <v>686.61</v>
      </c>
      <c r="G149" t="s">
        <v>187</v>
      </c>
    </row>
    <row r="150" spans="1:7" x14ac:dyDescent="0.45">
      <c r="A150">
        <v>149</v>
      </c>
      <c r="B150" t="s">
        <v>74</v>
      </c>
      <c r="C150" t="s">
        <v>414</v>
      </c>
      <c r="D150">
        <v>4010</v>
      </c>
      <c r="E150" t="s">
        <v>101</v>
      </c>
      <c r="F150">
        <v>19897.099999999999</v>
      </c>
      <c r="G150" t="s">
        <v>187</v>
      </c>
    </row>
    <row r="151" spans="1:7" x14ac:dyDescent="0.45">
      <c r="A151">
        <v>150</v>
      </c>
      <c r="B151" t="s">
        <v>74</v>
      </c>
      <c r="C151" t="s">
        <v>414</v>
      </c>
      <c r="D151">
        <v>4020</v>
      </c>
      <c r="E151" t="s">
        <v>103</v>
      </c>
      <c r="F151">
        <v>16964.689999999999</v>
      </c>
      <c r="G151" t="s">
        <v>187</v>
      </c>
    </row>
    <row r="152" spans="1:7" x14ac:dyDescent="0.45">
      <c r="A152">
        <v>151</v>
      </c>
      <c r="B152" t="s">
        <v>74</v>
      </c>
      <c r="C152" t="s">
        <v>414</v>
      </c>
      <c r="D152">
        <v>4030</v>
      </c>
      <c r="E152" t="s">
        <v>105</v>
      </c>
      <c r="F152">
        <v>12394.4</v>
      </c>
      <c r="G152" t="s">
        <v>187</v>
      </c>
    </row>
    <row r="153" spans="1:7" x14ac:dyDescent="0.45">
      <c r="A153">
        <v>152</v>
      </c>
      <c r="B153" t="s">
        <v>74</v>
      </c>
      <c r="C153" t="s">
        <v>414</v>
      </c>
      <c r="D153">
        <v>6010</v>
      </c>
      <c r="E153" t="s">
        <v>119</v>
      </c>
      <c r="F153">
        <v>23850.55</v>
      </c>
      <c r="G153" t="s">
        <v>187</v>
      </c>
    </row>
    <row r="154" spans="1:7" x14ac:dyDescent="0.45">
      <c r="A154">
        <v>153</v>
      </c>
      <c r="B154" t="s">
        <v>74</v>
      </c>
      <c r="C154" t="s">
        <v>414</v>
      </c>
      <c r="D154">
        <v>6020</v>
      </c>
      <c r="E154" t="s">
        <v>121</v>
      </c>
      <c r="F154">
        <v>3342.87</v>
      </c>
      <c r="G154" t="s">
        <v>187</v>
      </c>
    </row>
    <row r="155" spans="1:7" x14ac:dyDescent="0.45">
      <c r="A155">
        <v>154</v>
      </c>
      <c r="B155" t="s">
        <v>74</v>
      </c>
      <c r="C155" t="s">
        <v>414</v>
      </c>
      <c r="D155">
        <v>6030</v>
      </c>
      <c r="E155" t="s">
        <v>123</v>
      </c>
      <c r="F155">
        <v>3767.56</v>
      </c>
      <c r="G155" t="s">
        <v>187</v>
      </c>
    </row>
    <row r="156" spans="1:7" x14ac:dyDescent="0.45">
      <c r="A156">
        <v>155</v>
      </c>
      <c r="B156" t="s">
        <v>74</v>
      </c>
      <c r="C156" t="s">
        <v>414</v>
      </c>
      <c r="D156">
        <v>6040</v>
      </c>
      <c r="E156" t="s">
        <v>125</v>
      </c>
      <c r="F156">
        <v>1465.38</v>
      </c>
      <c r="G156" t="s">
        <v>187</v>
      </c>
    </row>
    <row r="157" spans="1:7" x14ac:dyDescent="0.45">
      <c r="A157">
        <v>156</v>
      </c>
      <c r="B157" t="s">
        <v>74</v>
      </c>
      <c r="C157" t="s">
        <v>414</v>
      </c>
      <c r="D157">
        <v>6050</v>
      </c>
      <c r="E157" t="s">
        <v>127</v>
      </c>
      <c r="F157">
        <v>795.3</v>
      </c>
      <c r="G157" t="s">
        <v>187</v>
      </c>
    </row>
    <row r="158" spans="1:7" x14ac:dyDescent="0.45">
      <c r="A158">
        <v>157</v>
      </c>
      <c r="B158" t="s">
        <v>74</v>
      </c>
      <c r="C158" t="s">
        <v>414</v>
      </c>
      <c r="D158">
        <v>6060</v>
      </c>
      <c r="E158" t="s">
        <v>129</v>
      </c>
      <c r="F158">
        <v>1192.02</v>
      </c>
      <c r="G158" t="s">
        <v>187</v>
      </c>
    </row>
    <row r="159" spans="1:7" x14ac:dyDescent="0.45">
      <c r="A159">
        <v>158</v>
      </c>
      <c r="B159" t="s">
        <v>74</v>
      </c>
      <c r="C159" t="s">
        <v>414</v>
      </c>
      <c r="D159">
        <v>7000</v>
      </c>
      <c r="E159" t="s">
        <v>133</v>
      </c>
      <c r="F159">
        <v>604.20000000000005</v>
      </c>
      <c r="G159" t="s">
        <v>187</v>
      </c>
    </row>
    <row r="160" spans="1:7" x14ac:dyDescent="0.45">
      <c r="A160">
        <v>159</v>
      </c>
      <c r="B160" t="s">
        <v>73</v>
      </c>
      <c r="C160" t="s">
        <v>414</v>
      </c>
      <c r="D160">
        <v>6070</v>
      </c>
      <c r="E160" t="s">
        <v>131</v>
      </c>
      <c r="F160">
        <v>3352.96</v>
      </c>
      <c r="G160" t="s">
        <v>187</v>
      </c>
    </row>
    <row r="161" spans="1:7" x14ac:dyDescent="0.45">
      <c r="A161">
        <v>160</v>
      </c>
      <c r="B161" t="s">
        <v>74</v>
      </c>
      <c r="C161" t="s">
        <v>414</v>
      </c>
      <c r="D161">
        <v>6070</v>
      </c>
      <c r="E161" t="s">
        <v>131</v>
      </c>
      <c r="F161">
        <v>2974.4</v>
      </c>
      <c r="G161" t="s">
        <v>187</v>
      </c>
    </row>
    <row r="162" spans="1:7" x14ac:dyDescent="0.45">
      <c r="A162">
        <v>161</v>
      </c>
      <c r="B162" t="s">
        <v>72</v>
      </c>
      <c r="C162" t="s">
        <v>1066</v>
      </c>
      <c r="D162">
        <v>4010</v>
      </c>
      <c r="E162" t="s">
        <v>101</v>
      </c>
      <c r="F162">
        <v>43316.47</v>
      </c>
      <c r="G162" t="s">
        <v>188</v>
      </c>
    </row>
    <row r="163" spans="1:7" x14ac:dyDescent="0.45">
      <c r="A163">
        <v>162</v>
      </c>
      <c r="B163" t="s">
        <v>72</v>
      </c>
      <c r="C163" t="s">
        <v>1066</v>
      </c>
      <c r="D163">
        <v>4020</v>
      </c>
      <c r="E163" t="s">
        <v>103</v>
      </c>
      <c r="F163">
        <v>35094.980000000003</v>
      </c>
      <c r="G163" t="s">
        <v>188</v>
      </c>
    </row>
    <row r="164" spans="1:7" x14ac:dyDescent="0.45">
      <c r="A164">
        <v>163</v>
      </c>
      <c r="B164" t="s">
        <v>72</v>
      </c>
      <c r="C164" t="s">
        <v>1066</v>
      </c>
      <c r="D164">
        <v>4030</v>
      </c>
      <c r="E164" t="s">
        <v>105</v>
      </c>
      <c r="F164">
        <v>24297.23</v>
      </c>
      <c r="G164" t="s">
        <v>188</v>
      </c>
    </row>
    <row r="165" spans="1:7" x14ac:dyDescent="0.45">
      <c r="A165">
        <v>164</v>
      </c>
      <c r="B165" t="s">
        <v>72</v>
      </c>
      <c r="C165" t="s">
        <v>1066</v>
      </c>
      <c r="D165">
        <v>6010</v>
      </c>
      <c r="E165" t="s">
        <v>119</v>
      </c>
      <c r="F165">
        <v>42893.5</v>
      </c>
      <c r="G165" t="s">
        <v>188</v>
      </c>
    </row>
    <row r="166" spans="1:7" x14ac:dyDescent="0.45">
      <c r="A166">
        <v>165</v>
      </c>
      <c r="B166" t="s">
        <v>72</v>
      </c>
      <c r="C166" t="s">
        <v>1066</v>
      </c>
      <c r="D166">
        <v>6020</v>
      </c>
      <c r="E166" t="s">
        <v>121</v>
      </c>
      <c r="F166">
        <v>6164.01</v>
      </c>
      <c r="G166" t="s">
        <v>188</v>
      </c>
    </row>
    <row r="167" spans="1:7" x14ac:dyDescent="0.45">
      <c r="A167">
        <v>166</v>
      </c>
      <c r="B167" t="s">
        <v>72</v>
      </c>
      <c r="C167" t="s">
        <v>1066</v>
      </c>
      <c r="D167">
        <v>6030</v>
      </c>
      <c r="E167" t="s">
        <v>123</v>
      </c>
      <c r="F167">
        <v>6899.93</v>
      </c>
      <c r="G167" t="s">
        <v>188</v>
      </c>
    </row>
    <row r="168" spans="1:7" x14ac:dyDescent="0.45">
      <c r="A168">
        <v>167</v>
      </c>
      <c r="B168" t="s">
        <v>72</v>
      </c>
      <c r="C168" t="s">
        <v>1066</v>
      </c>
      <c r="D168">
        <v>6040</v>
      </c>
      <c r="E168" t="s">
        <v>125</v>
      </c>
      <c r="F168">
        <v>3077.91</v>
      </c>
      <c r="G168" t="s">
        <v>188</v>
      </c>
    </row>
    <row r="169" spans="1:7" x14ac:dyDescent="0.45">
      <c r="A169">
        <v>168</v>
      </c>
      <c r="B169" t="s">
        <v>72</v>
      </c>
      <c r="C169" t="s">
        <v>1066</v>
      </c>
      <c r="D169">
        <v>6050</v>
      </c>
      <c r="E169" t="s">
        <v>127</v>
      </c>
      <c r="F169">
        <v>1447.02</v>
      </c>
      <c r="G169" t="s">
        <v>188</v>
      </c>
    </row>
    <row r="170" spans="1:7" x14ac:dyDescent="0.45">
      <c r="A170">
        <v>169</v>
      </c>
      <c r="B170" t="s">
        <v>72</v>
      </c>
      <c r="C170" t="s">
        <v>1066</v>
      </c>
      <c r="D170">
        <v>6060</v>
      </c>
      <c r="E170" t="s">
        <v>129</v>
      </c>
      <c r="F170">
        <v>2187.77</v>
      </c>
      <c r="G170" t="s">
        <v>188</v>
      </c>
    </row>
    <row r="171" spans="1:7" x14ac:dyDescent="0.45">
      <c r="A171">
        <v>170</v>
      </c>
      <c r="B171" t="s">
        <v>72</v>
      </c>
      <c r="C171" t="s">
        <v>1066</v>
      </c>
      <c r="D171">
        <v>7000</v>
      </c>
      <c r="E171" t="s">
        <v>133</v>
      </c>
      <c r="F171">
        <v>1090.26</v>
      </c>
      <c r="G171" t="s">
        <v>188</v>
      </c>
    </row>
    <row r="172" spans="1:7" x14ac:dyDescent="0.45">
      <c r="A172">
        <v>171</v>
      </c>
      <c r="B172" t="s">
        <v>73</v>
      </c>
      <c r="C172" t="s">
        <v>1066</v>
      </c>
      <c r="D172">
        <v>4010</v>
      </c>
      <c r="E172" t="s">
        <v>101</v>
      </c>
      <c r="F172">
        <v>24791.82</v>
      </c>
      <c r="G172" t="s">
        <v>188</v>
      </c>
    </row>
    <row r="173" spans="1:7" x14ac:dyDescent="0.45">
      <c r="A173">
        <v>172</v>
      </c>
      <c r="B173" t="s">
        <v>73</v>
      </c>
      <c r="C173" t="s">
        <v>1066</v>
      </c>
      <c r="D173">
        <v>4020</v>
      </c>
      <c r="E173" t="s">
        <v>103</v>
      </c>
      <c r="F173">
        <v>18564.439999999999</v>
      </c>
      <c r="G173" t="s">
        <v>188</v>
      </c>
    </row>
    <row r="174" spans="1:7" x14ac:dyDescent="0.45">
      <c r="A174">
        <v>173</v>
      </c>
      <c r="B174" t="s">
        <v>73</v>
      </c>
      <c r="C174" t="s">
        <v>1066</v>
      </c>
      <c r="D174">
        <v>4030</v>
      </c>
      <c r="E174" t="s">
        <v>105</v>
      </c>
      <c r="F174">
        <v>14667.65</v>
      </c>
      <c r="G174" t="s">
        <v>188</v>
      </c>
    </row>
    <row r="175" spans="1:7" x14ac:dyDescent="0.45">
      <c r="A175">
        <v>174</v>
      </c>
      <c r="B175" t="s">
        <v>73</v>
      </c>
      <c r="C175" t="s">
        <v>1066</v>
      </c>
      <c r="D175">
        <v>6010</v>
      </c>
      <c r="E175" t="s">
        <v>119</v>
      </c>
      <c r="F175">
        <v>26205</v>
      </c>
      <c r="G175" t="s">
        <v>188</v>
      </c>
    </row>
    <row r="176" spans="1:7" x14ac:dyDescent="0.45">
      <c r="A176">
        <v>175</v>
      </c>
      <c r="B176" t="s">
        <v>73</v>
      </c>
      <c r="C176" t="s">
        <v>1066</v>
      </c>
      <c r="D176">
        <v>6020</v>
      </c>
      <c r="E176" t="s">
        <v>121</v>
      </c>
      <c r="F176">
        <v>3847.64</v>
      </c>
      <c r="G176" t="s">
        <v>188</v>
      </c>
    </row>
    <row r="177" spans="1:7" x14ac:dyDescent="0.45">
      <c r="A177">
        <v>176</v>
      </c>
      <c r="B177" t="s">
        <v>73</v>
      </c>
      <c r="C177" t="s">
        <v>1066</v>
      </c>
      <c r="D177">
        <v>6030</v>
      </c>
      <c r="E177" t="s">
        <v>123</v>
      </c>
      <c r="F177">
        <v>4379.4799999999996</v>
      </c>
      <c r="G177" t="s">
        <v>188</v>
      </c>
    </row>
    <row r="178" spans="1:7" x14ac:dyDescent="0.45">
      <c r="A178">
        <v>177</v>
      </c>
      <c r="B178" t="s">
        <v>73</v>
      </c>
      <c r="C178" t="s">
        <v>1066</v>
      </c>
      <c r="D178">
        <v>6040</v>
      </c>
      <c r="E178" t="s">
        <v>125</v>
      </c>
      <c r="F178">
        <v>2161.21</v>
      </c>
      <c r="G178" t="s">
        <v>188</v>
      </c>
    </row>
    <row r="179" spans="1:7" x14ac:dyDescent="0.45">
      <c r="A179">
        <v>178</v>
      </c>
      <c r="B179" t="s">
        <v>73</v>
      </c>
      <c r="C179" t="s">
        <v>1066</v>
      </c>
      <c r="D179">
        <v>6050</v>
      </c>
      <c r="E179" t="s">
        <v>127</v>
      </c>
      <c r="F179">
        <v>914.33</v>
      </c>
      <c r="G179" t="s">
        <v>188</v>
      </c>
    </row>
    <row r="180" spans="1:7" x14ac:dyDescent="0.45">
      <c r="A180">
        <v>179</v>
      </c>
      <c r="B180" t="s">
        <v>73</v>
      </c>
      <c r="C180" t="s">
        <v>1066</v>
      </c>
      <c r="D180">
        <v>6060</v>
      </c>
      <c r="E180" t="s">
        <v>129</v>
      </c>
      <c r="F180">
        <v>1414.77</v>
      </c>
      <c r="G180" t="s">
        <v>188</v>
      </c>
    </row>
    <row r="181" spans="1:7" x14ac:dyDescent="0.45">
      <c r="A181">
        <v>180</v>
      </c>
      <c r="B181" t="s">
        <v>73</v>
      </c>
      <c r="C181" t="s">
        <v>1066</v>
      </c>
      <c r="D181">
        <v>7000</v>
      </c>
      <c r="E181" t="s">
        <v>133</v>
      </c>
      <c r="F181">
        <v>672.9</v>
      </c>
      <c r="G181" t="s">
        <v>188</v>
      </c>
    </row>
    <row r="182" spans="1:7" x14ac:dyDescent="0.45">
      <c r="A182">
        <v>181</v>
      </c>
      <c r="B182" t="s">
        <v>74</v>
      </c>
      <c r="C182" t="s">
        <v>1066</v>
      </c>
      <c r="D182">
        <v>4010</v>
      </c>
      <c r="E182" t="s">
        <v>101</v>
      </c>
      <c r="F182">
        <v>21578.35</v>
      </c>
      <c r="G182" t="s">
        <v>188</v>
      </c>
    </row>
    <row r="183" spans="1:7" x14ac:dyDescent="0.45">
      <c r="A183">
        <v>182</v>
      </c>
      <c r="B183" t="s">
        <v>74</v>
      </c>
      <c r="C183" t="s">
        <v>1066</v>
      </c>
      <c r="D183">
        <v>4020</v>
      </c>
      <c r="E183" t="s">
        <v>103</v>
      </c>
      <c r="F183">
        <v>17288.189999999999</v>
      </c>
      <c r="G183" t="s">
        <v>188</v>
      </c>
    </row>
    <row r="184" spans="1:7" x14ac:dyDescent="0.45">
      <c r="A184">
        <v>183</v>
      </c>
      <c r="B184" t="s">
        <v>74</v>
      </c>
      <c r="C184" t="s">
        <v>1066</v>
      </c>
      <c r="D184">
        <v>4030</v>
      </c>
      <c r="E184" t="s">
        <v>105</v>
      </c>
      <c r="F184">
        <v>12634.84</v>
      </c>
      <c r="G184" t="s">
        <v>188</v>
      </c>
    </row>
    <row r="185" spans="1:7" x14ac:dyDescent="0.45">
      <c r="A185">
        <v>184</v>
      </c>
      <c r="B185" t="s">
        <v>74</v>
      </c>
      <c r="C185" t="s">
        <v>1066</v>
      </c>
      <c r="D185">
        <v>6010</v>
      </c>
      <c r="E185" t="s">
        <v>119</v>
      </c>
      <c r="F185">
        <v>24363.5</v>
      </c>
      <c r="G185" t="s">
        <v>188</v>
      </c>
    </row>
    <row r="186" spans="1:7" x14ac:dyDescent="0.45">
      <c r="A186">
        <v>185</v>
      </c>
      <c r="B186" t="s">
        <v>74</v>
      </c>
      <c r="C186" t="s">
        <v>1066</v>
      </c>
      <c r="D186">
        <v>6020</v>
      </c>
      <c r="E186" t="s">
        <v>121</v>
      </c>
      <c r="F186">
        <v>3290.4</v>
      </c>
      <c r="G186" t="s">
        <v>188</v>
      </c>
    </row>
    <row r="187" spans="1:7" x14ac:dyDescent="0.45">
      <c r="A187">
        <v>186</v>
      </c>
      <c r="B187" t="s">
        <v>74</v>
      </c>
      <c r="C187" t="s">
        <v>1066</v>
      </c>
      <c r="D187">
        <v>6030</v>
      </c>
      <c r="E187" t="s">
        <v>123</v>
      </c>
      <c r="F187">
        <v>3877.06</v>
      </c>
      <c r="G187" t="s">
        <v>188</v>
      </c>
    </row>
    <row r="188" spans="1:7" x14ac:dyDescent="0.45">
      <c r="A188">
        <v>187</v>
      </c>
      <c r="B188" t="s">
        <v>74</v>
      </c>
      <c r="C188" t="s">
        <v>1066</v>
      </c>
      <c r="D188">
        <v>6040</v>
      </c>
      <c r="E188" t="s">
        <v>125</v>
      </c>
      <c r="F188">
        <v>1748.12</v>
      </c>
      <c r="G188" t="s">
        <v>188</v>
      </c>
    </row>
    <row r="189" spans="1:7" x14ac:dyDescent="0.45">
      <c r="A189">
        <v>188</v>
      </c>
      <c r="B189" t="s">
        <v>74</v>
      </c>
      <c r="C189" t="s">
        <v>1066</v>
      </c>
      <c r="D189">
        <v>6050</v>
      </c>
      <c r="E189" t="s">
        <v>127</v>
      </c>
      <c r="F189">
        <v>795.04</v>
      </c>
      <c r="G189" t="s">
        <v>188</v>
      </c>
    </row>
    <row r="190" spans="1:7" x14ac:dyDescent="0.45">
      <c r="A190">
        <v>189</v>
      </c>
      <c r="B190" t="s">
        <v>74</v>
      </c>
      <c r="C190" t="s">
        <v>1066</v>
      </c>
      <c r="D190">
        <v>6060</v>
      </c>
      <c r="E190" t="s">
        <v>129</v>
      </c>
      <c r="F190">
        <v>1268.21</v>
      </c>
      <c r="G190" t="s">
        <v>188</v>
      </c>
    </row>
    <row r="191" spans="1:7" x14ac:dyDescent="0.45">
      <c r="A191">
        <v>190</v>
      </c>
      <c r="B191" t="s">
        <v>74</v>
      </c>
      <c r="C191" t="s">
        <v>1066</v>
      </c>
      <c r="D191">
        <v>7000</v>
      </c>
      <c r="E191" t="s">
        <v>133</v>
      </c>
      <c r="F191">
        <v>616.99</v>
      </c>
      <c r="G191" t="s">
        <v>188</v>
      </c>
    </row>
    <row r="192" spans="1:7" x14ac:dyDescent="0.45">
      <c r="A192">
        <v>191</v>
      </c>
      <c r="B192" t="s">
        <v>73</v>
      </c>
      <c r="C192" t="s">
        <v>1066</v>
      </c>
      <c r="D192">
        <v>6070</v>
      </c>
      <c r="E192" t="s">
        <v>131</v>
      </c>
      <c r="F192">
        <v>3385.2</v>
      </c>
      <c r="G192" t="s">
        <v>188</v>
      </c>
    </row>
    <row r="193" spans="1:7" x14ac:dyDescent="0.45">
      <c r="A193">
        <v>192</v>
      </c>
      <c r="B193" t="s">
        <v>74</v>
      </c>
      <c r="C193" t="s">
        <v>1066</v>
      </c>
      <c r="D193">
        <v>6070</v>
      </c>
      <c r="E193" t="s">
        <v>131</v>
      </c>
      <c r="F193">
        <v>3003</v>
      </c>
      <c r="G193" t="s">
        <v>188</v>
      </c>
    </row>
    <row r="194" spans="1:7" x14ac:dyDescent="0.45">
      <c r="A194">
        <v>193</v>
      </c>
      <c r="B194" t="s">
        <v>72</v>
      </c>
      <c r="C194" t="s">
        <v>507</v>
      </c>
      <c r="D194">
        <v>4010</v>
      </c>
      <c r="E194" t="s">
        <v>101</v>
      </c>
      <c r="F194">
        <v>42422.46</v>
      </c>
      <c r="G194" t="s">
        <v>189</v>
      </c>
    </row>
    <row r="195" spans="1:7" x14ac:dyDescent="0.45">
      <c r="A195">
        <v>194</v>
      </c>
      <c r="B195" t="s">
        <v>72</v>
      </c>
      <c r="C195" t="s">
        <v>507</v>
      </c>
      <c r="D195">
        <v>4020</v>
      </c>
      <c r="E195" t="s">
        <v>103</v>
      </c>
      <c r="F195">
        <v>31456.76</v>
      </c>
      <c r="G195" t="s">
        <v>189</v>
      </c>
    </row>
    <row r="196" spans="1:7" x14ac:dyDescent="0.45">
      <c r="A196">
        <v>195</v>
      </c>
      <c r="B196" t="s">
        <v>72</v>
      </c>
      <c r="C196" t="s">
        <v>507</v>
      </c>
      <c r="D196">
        <v>4030</v>
      </c>
      <c r="E196" t="s">
        <v>105</v>
      </c>
      <c r="F196">
        <v>24188.560000000001</v>
      </c>
      <c r="G196" t="s">
        <v>189</v>
      </c>
    </row>
    <row r="197" spans="1:7" x14ac:dyDescent="0.45">
      <c r="A197">
        <v>196</v>
      </c>
      <c r="B197" t="s">
        <v>72</v>
      </c>
      <c r="C197" t="s">
        <v>507</v>
      </c>
      <c r="D197">
        <v>6010</v>
      </c>
      <c r="E197" t="s">
        <v>119</v>
      </c>
      <c r="F197">
        <v>43906.25</v>
      </c>
      <c r="G197" t="s">
        <v>189</v>
      </c>
    </row>
    <row r="198" spans="1:7" x14ac:dyDescent="0.45">
      <c r="A198">
        <v>197</v>
      </c>
      <c r="B198" t="s">
        <v>72</v>
      </c>
      <c r="C198" t="s">
        <v>507</v>
      </c>
      <c r="D198">
        <v>6020</v>
      </c>
      <c r="E198" t="s">
        <v>121</v>
      </c>
      <c r="F198">
        <v>6135.5</v>
      </c>
      <c r="G198" t="s">
        <v>189</v>
      </c>
    </row>
    <row r="199" spans="1:7" x14ac:dyDescent="0.45">
      <c r="A199">
        <v>198</v>
      </c>
      <c r="B199" t="s">
        <v>72</v>
      </c>
      <c r="C199" t="s">
        <v>507</v>
      </c>
      <c r="D199">
        <v>6030</v>
      </c>
      <c r="E199" t="s">
        <v>123</v>
      </c>
      <c r="F199">
        <v>7073.47</v>
      </c>
      <c r="G199" t="s">
        <v>189</v>
      </c>
    </row>
    <row r="200" spans="1:7" x14ac:dyDescent="0.45">
      <c r="A200">
        <v>199</v>
      </c>
      <c r="B200" t="s">
        <v>72</v>
      </c>
      <c r="C200" t="s">
        <v>507</v>
      </c>
      <c r="D200">
        <v>6040</v>
      </c>
      <c r="E200" t="s">
        <v>125</v>
      </c>
      <c r="F200">
        <v>2836.67</v>
      </c>
      <c r="G200" t="s">
        <v>189</v>
      </c>
    </row>
    <row r="201" spans="1:7" x14ac:dyDescent="0.45">
      <c r="A201">
        <v>200</v>
      </c>
      <c r="B201" t="s">
        <v>72</v>
      </c>
      <c r="C201" t="s">
        <v>507</v>
      </c>
      <c r="D201">
        <v>6050</v>
      </c>
      <c r="E201" t="s">
        <v>127</v>
      </c>
      <c r="F201">
        <v>1454.88</v>
      </c>
      <c r="G201" t="s">
        <v>189</v>
      </c>
    </row>
    <row r="202" spans="1:7" x14ac:dyDescent="0.45">
      <c r="A202">
        <v>201</v>
      </c>
      <c r="B202" t="s">
        <v>72</v>
      </c>
      <c r="C202" t="s">
        <v>507</v>
      </c>
      <c r="D202">
        <v>6060</v>
      </c>
      <c r="E202" t="s">
        <v>129</v>
      </c>
      <c r="F202">
        <v>2226.63</v>
      </c>
      <c r="G202" t="s">
        <v>189</v>
      </c>
    </row>
    <row r="203" spans="1:7" x14ac:dyDescent="0.45">
      <c r="A203">
        <v>202</v>
      </c>
      <c r="B203" t="s">
        <v>72</v>
      </c>
      <c r="C203" t="s">
        <v>507</v>
      </c>
      <c r="D203">
        <v>7000</v>
      </c>
      <c r="E203" t="s">
        <v>133</v>
      </c>
      <c r="F203">
        <v>1115.52</v>
      </c>
      <c r="G203" t="s">
        <v>189</v>
      </c>
    </row>
    <row r="204" spans="1:7" x14ac:dyDescent="0.45">
      <c r="A204">
        <v>203</v>
      </c>
      <c r="B204" t="s">
        <v>73</v>
      </c>
      <c r="C204" t="s">
        <v>507</v>
      </c>
      <c r="D204">
        <v>4010</v>
      </c>
      <c r="E204" t="s">
        <v>101</v>
      </c>
      <c r="F204">
        <v>24628.959999999999</v>
      </c>
      <c r="G204" t="s">
        <v>189</v>
      </c>
    </row>
    <row r="205" spans="1:7" x14ac:dyDescent="0.45">
      <c r="A205">
        <v>204</v>
      </c>
      <c r="B205" t="s">
        <v>73</v>
      </c>
      <c r="C205" t="s">
        <v>507</v>
      </c>
      <c r="D205">
        <v>4020</v>
      </c>
      <c r="E205" t="s">
        <v>103</v>
      </c>
      <c r="F205">
        <v>17690.43</v>
      </c>
      <c r="G205" t="s">
        <v>189</v>
      </c>
    </row>
    <row r="206" spans="1:7" x14ac:dyDescent="0.45">
      <c r="A206">
        <v>205</v>
      </c>
      <c r="B206" t="s">
        <v>73</v>
      </c>
      <c r="C206" t="s">
        <v>507</v>
      </c>
      <c r="D206">
        <v>4030</v>
      </c>
      <c r="E206" t="s">
        <v>105</v>
      </c>
      <c r="F206">
        <v>13552.88</v>
      </c>
      <c r="G206" t="s">
        <v>189</v>
      </c>
    </row>
    <row r="207" spans="1:7" x14ac:dyDescent="0.45">
      <c r="A207">
        <v>206</v>
      </c>
      <c r="B207" t="s">
        <v>73</v>
      </c>
      <c r="C207" t="s">
        <v>507</v>
      </c>
      <c r="D207">
        <v>6010</v>
      </c>
      <c r="E207" t="s">
        <v>119</v>
      </c>
      <c r="F207">
        <v>27352.720000000001</v>
      </c>
      <c r="G207" t="s">
        <v>189</v>
      </c>
    </row>
    <row r="208" spans="1:7" x14ac:dyDescent="0.45">
      <c r="A208">
        <v>207</v>
      </c>
      <c r="B208" t="s">
        <v>73</v>
      </c>
      <c r="C208" t="s">
        <v>507</v>
      </c>
      <c r="D208">
        <v>6020</v>
      </c>
      <c r="E208" t="s">
        <v>121</v>
      </c>
      <c r="F208">
        <v>3745.44</v>
      </c>
      <c r="G208" t="s">
        <v>189</v>
      </c>
    </row>
    <row r="209" spans="1:7" x14ac:dyDescent="0.45">
      <c r="A209">
        <v>208</v>
      </c>
      <c r="B209" t="s">
        <v>73</v>
      </c>
      <c r="C209" t="s">
        <v>507</v>
      </c>
      <c r="D209">
        <v>6030</v>
      </c>
      <c r="E209" t="s">
        <v>123</v>
      </c>
      <c r="F209">
        <v>4276.45</v>
      </c>
      <c r="G209" t="s">
        <v>189</v>
      </c>
    </row>
    <row r="210" spans="1:7" x14ac:dyDescent="0.45">
      <c r="A210">
        <v>209</v>
      </c>
      <c r="B210" t="s">
        <v>73</v>
      </c>
      <c r="C210" t="s">
        <v>507</v>
      </c>
      <c r="D210">
        <v>6040</v>
      </c>
      <c r="E210" t="s">
        <v>125</v>
      </c>
      <c r="F210">
        <v>2071.44</v>
      </c>
      <c r="G210" t="s">
        <v>189</v>
      </c>
    </row>
    <row r="211" spans="1:7" x14ac:dyDescent="0.45">
      <c r="A211">
        <v>210</v>
      </c>
      <c r="B211" t="s">
        <v>73</v>
      </c>
      <c r="C211" t="s">
        <v>507</v>
      </c>
      <c r="D211">
        <v>6050</v>
      </c>
      <c r="E211" t="s">
        <v>127</v>
      </c>
      <c r="F211">
        <v>889.87</v>
      </c>
      <c r="G211" t="s">
        <v>189</v>
      </c>
    </row>
    <row r="212" spans="1:7" x14ac:dyDescent="0.45">
      <c r="A212">
        <v>211</v>
      </c>
      <c r="B212" t="s">
        <v>73</v>
      </c>
      <c r="C212" t="s">
        <v>507</v>
      </c>
      <c r="D212">
        <v>6060</v>
      </c>
      <c r="E212" t="s">
        <v>129</v>
      </c>
      <c r="F212">
        <v>1393.16</v>
      </c>
      <c r="G212" t="s">
        <v>189</v>
      </c>
    </row>
    <row r="213" spans="1:7" x14ac:dyDescent="0.45">
      <c r="A213">
        <v>212</v>
      </c>
      <c r="B213" t="s">
        <v>73</v>
      </c>
      <c r="C213" t="s">
        <v>507</v>
      </c>
      <c r="D213">
        <v>7000</v>
      </c>
      <c r="E213" t="s">
        <v>133</v>
      </c>
      <c r="F213">
        <v>685.26</v>
      </c>
      <c r="G213" t="s">
        <v>189</v>
      </c>
    </row>
    <row r="214" spans="1:7" x14ac:dyDescent="0.45">
      <c r="A214">
        <v>213</v>
      </c>
      <c r="B214" t="s">
        <v>74</v>
      </c>
      <c r="C214" t="s">
        <v>507</v>
      </c>
      <c r="D214">
        <v>4010</v>
      </c>
      <c r="E214" t="s">
        <v>101</v>
      </c>
      <c r="F214">
        <v>22342.15</v>
      </c>
      <c r="G214" t="s">
        <v>189</v>
      </c>
    </row>
    <row r="215" spans="1:7" x14ac:dyDescent="0.45">
      <c r="A215">
        <v>214</v>
      </c>
      <c r="B215" t="s">
        <v>74</v>
      </c>
      <c r="C215" t="s">
        <v>507</v>
      </c>
      <c r="D215">
        <v>4020</v>
      </c>
      <c r="E215" t="s">
        <v>103</v>
      </c>
      <c r="F215">
        <v>17446.400000000001</v>
      </c>
      <c r="G215" t="s">
        <v>189</v>
      </c>
    </row>
    <row r="216" spans="1:7" x14ac:dyDescent="0.45">
      <c r="A216">
        <v>215</v>
      </c>
      <c r="B216" t="s">
        <v>74</v>
      </c>
      <c r="C216" t="s">
        <v>507</v>
      </c>
      <c r="D216">
        <v>4030</v>
      </c>
      <c r="E216" t="s">
        <v>105</v>
      </c>
      <c r="F216">
        <v>13771.24</v>
      </c>
      <c r="G216" t="s">
        <v>189</v>
      </c>
    </row>
    <row r="217" spans="1:7" x14ac:dyDescent="0.45">
      <c r="A217">
        <v>216</v>
      </c>
      <c r="B217" t="s">
        <v>74</v>
      </c>
      <c r="C217" t="s">
        <v>507</v>
      </c>
      <c r="D217">
        <v>6010</v>
      </c>
      <c r="E217" t="s">
        <v>119</v>
      </c>
      <c r="F217">
        <v>24314.04</v>
      </c>
      <c r="G217" t="s">
        <v>189</v>
      </c>
    </row>
    <row r="218" spans="1:7" x14ac:dyDescent="0.45">
      <c r="A218">
        <v>217</v>
      </c>
      <c r="B218" t="s">
        <v>74</v>
      </c>
      <c r="C218" t="s">
        <v>507</v>
      </c>
      <c r="D218">
        <v>6020</v>
      </c>
      <c r="E218" t="s">
        <v>121</v>
      </c>
      <c r="F218">
        <v>3323.16</v>
      </c>
      <c r="G218" t="s">
        <v>189</v>
      </c>
    </row>
    <row r="219" spans="1:7" x14ac:dyDescent="0.45">
      <c r="A219">
        <v>218</v>
      </c>
      <c r="B219" t="s">
        <v>74</v>
      </c>
      <c r="C219" t="s">
        <v>507</v>
      </c>
      <c r="D219">
        <v>6030</v>
      </c>
      <c r="E219" t="s">
        <v>123</v>
      </c>
      <c r="F219">
        <v>3836.14</v>
      </c>
      <c r="G219" t="s">
        <v>189</v>
      </c>
    </row>
    <row r="220" spans="1:7" x14ac:dyDescent="0.45">
      <c r="A220">
        <v>219</v>
      </c>
      <c r="B220" t="s">
        <v>74</v>
      </c>
      <c r="C220" t="s">
        <v>507</v>
      </c>
      <c r="D220">
        <v>6040</v>
      </c>
      <c r="E220" t="s">
        <v>125</v>
      </c>
      <c r="F220">
        <v>1836.27</v>
      </c>
      <c r="G220" t="s">
        <v>189</v>
      </c>
    </row>
    <row r="221" spans="1:7" x14ac:dyDescent="0.45">
      <c r="A221">
        <v>220</v>
      </c>
      <c r="B221" t="s">
        <v>74</v>
      </c>
      <c r="C221" t="s">
        <v>507</v>
      </c>
      <c r="D221">
        <v>6050</v>
      </c>
      <c r="E221" t="s">
        <v>127</v>
      </c>
      <c r="F221">
        <v>791.12</v>
      </c>
      <c r="G221" t="s">
        <v>189</v>
      </c>
    </row>
    <row r="222" spans="1:7" x14ac:dyDescent="0.45">
      <c r="A222">
        <v>221</v>
      </c>
      <c r="B222" t="s">
        <v>74</v>
      </c>
      <c r="C222" t="s">
        <v>507</v>
      </c>
      <c r="D222">
        <v>6060</v>
      </c>
      <c r="E222" t="s">
        <v>129</v>
      </c>
      <c r="F222">
        <v>1201.79</v>
      </c>
      <c r="G222" t="s">
        <v>189</v>
      </c>
    </row>
    <row r="223" spans="1:7" x14ac:dyDescent="0.45">
      <c r="A223">
        <v>222</v>
      </c>
      <c r="B223" t="s">
        <v>74</v>
      </c>
      <c r="C223" t="s">
        <v>507</v>
      </c>
      <c r="D223">
        <v>7000</v>
      </c>
      <c r="E223" t="s">
        <v>133</v>
      </c>
      <c r="F223">
        <v>611.1</v>
      </c>
      <c r="G223" t="s">
        <v>189</v>
      </c>
    </row>
    <row r="224" spans="1:7" x14ac:dyDescent="0.45">
      <c r="A224">
        <v>223</v>
      </c>
      <c r="B224" t="s">
        <v>73</v>
      </c>
      <c r="C224" t="s">
        <v>507</v>
      </c>
      <c r="D224">
        <v>6070</v>
      </c>
      <c r="E224" t="s">
        <v>131</v>
      </c>
      <c r="F224">
        <v>3417.44</v>
      </c>
      <c r="G224" t="s">
        <v>189</v>
      </c>
    </row>
    <row r="225" spans="1:7" x14ac:dyDescent="0.45">
      <c r="A225">
        <v>224</v>
      </c>
      <c r="B225" t="s">
        <v>74</v>
      </c>
      <c r="C225" t="s">
        <v>507</v>
      </c>
      <c r="D225">
        <v>6070</v>
      </c>
      <c r="E225" t="s">
        <v>131</v>
      </c>
      <c r="F225">
        <v>3031.6</v>
      </c>
      <c r="G225" t="s">
        <v>189</v>
      </c>
    </row>
    <row r="226" spans="1:7" x14ac:dyDescent="0.45">
      <c r="A226">
        <v>225</v>
      </c>
      <c r="B226" t="s">
        <v>72</v>
      </c>
      <c r="C226" t="s">
        <v>554</v>
      </c>
      <c r="D226">
        <v>4010</v>
      </c>
      <c r="E226" t="s">
        <v>101</v>
      </c>
      <c r="F226">
        <v>37438.31</v>
      </c>
      <c r="G226" t="s">
        <v>190</v>
      </c>
    </row>
    <row r="227" spans="1:7" x14ac:dyDescent="0.45">
      <c r="A227">
        <v>226</v>
      </c>
      <c r="B227" t="s">
        <v>72</v>
      </c>
      <c r="C227" t="s">
        <v>554</v>
      </c>
      <c r="D227">
        <v>4020</v>
      </c>
      <c r="E227" t="s">
        <v>103</v>
      </c>
      <c r="F227">
        <v>31044.12</v>
      </c>
      <c r="G227" t="s">
        <v>190</v>
      </c>
    </row>
    <row r="228" spans="1:7" x14ac:dyDescent="0.45">
      <c r="A228">
        <v>227</v>
      </c>
      <c r="B228" t="s">
        <v>72</v>
      </c>
      <c r="C228" t="s">
        <v>554</v>
      </c>
      <c r="D228">
        <v>4030</v>
      </c>
      <c r="E228" t="s">
        <v>105</v>
      </c>
      <c r="F228">
        <v>23512.89</v>
      </c>
      <c r="G228" t="s">
        <v>190</v>
      </c>
    </row>
    <row r="229" spans="1:7" x14ac:dyDescent="0.45">
      <c r="A229">
        <v>228</v>
      </c>
      <c r="B229" t="s">
        <v>72</v>
      </c>
      <c r="C229" t="s">
        <v>554</v>
      </c>
      <c r="D229">
        <v>6010</v>
      </c>
      <c r="E229" t="s">
        <v>119</v>
      </c>
      <c r="F229">
        <v>43584.35</v>
      </c>
      <c r="G229" t="s">
        <v>190</v>
      </c>
    </row>
    <row r="230" spans="1:7" x14ac:dyDescent="0.45">
      <c r="A230">
        <v>229</v>
      </c>
      <c r="B230" t="s">
        <v>72</v>
      </c>
      <c r="C230" t="s">
        <v>554</v>
      </c>
      <c r="D230">
        <v>6020</v>
      </c>
      <c r="E230" t="s">
        <v>121</v>
      </c>
      <c r="F230">
        <v>6118</v>
      </c>
      <c r="G230" t="s">
        <v>190</v>
      </c>
    </row>
    <row r="231" spans="1:7" x14ac:dyDescent="0.45">
      <c r="A231">
        <v>230</v>
      </c>
      <c r="B231" t="s">
        <v>72</v>
      </c>
      <c r="C231" t="s">
        <v>554</v>
      </c>
      <c r="D231">
        <v>6030</v>
      </c>
      <c r="E231" t="s">
        <v>123</v>
      </c>
      <c r="F231">
        <v>7159.97</v>
      </c>
      <c r="G231" t="s">
        <v>190</v>
      </c>
    </row>
    <row r="232" spans="1:7" x14ac:dyDescent="0.45">
      <c r="A232">
        <v>231</v>
      </c>
      <c r="B232" t="s">
        <v>72</v>
      </c>
      <c r="C232" t="s">
        <v>554</v>
      </c>
      <c r="D232">
        <v>6040</v>
      </c>
      <c r="E232" t="s">
        <v>125</v>
      </c>
      <c r="F232">
        <v>3265.97</v>
      </c>
      <c r="G232" t="s">
        <v>190</v>
      </c>
    </row>
    <row r="233" spans="1:7" x14ac:dyDescent="0.45">
      <c r="A233">
        <v>232</v>
      </c>
      <c r="B233" t="s">
        <v>72</v>
      </c>
      <c r="C233" t="s">
        <v>554</v>
      </c>
      <c r="D233">
        <v>6050</v>
      </c>
      <c r="E233" t="s">
        <v>127</v>
      </c>
      <c r="F233">
        <v>1472</v>
      </c>
      <c r="G233" t="s">
        <v>190</v>
      </c>
    </row>
    <row r="234" spans="1:7" x14ac:dyDescent="0.45">
      <c r="A234">
        <v>233</v>
      </c>
      <c r="B234" t="s">
        <v>72</v>
      </c>
      <c r="C234" t="s">
        <v>554</v>
      </c>
      <c r="D234">
        <v>6060</v>
      </c>
      <c r="E234" t="s">
        <v>129</v>
      </c>
      <c r="F234">
        <v>2217.6799999999998</v>
      </c>
      <c r="G234" t="s">
        <v>190</v>
      </c>
    </row>
    <row r="235" spans="1:7" x14ac:dyDescent="0.45">
      <c r="A235">
        <v>234</v>
      </c>
      <c r="B235" t="s">
        <v>72</v>
      </c>
      <c r="C235" t="s">
        <v>554</v>
      </c>
      <c r="D235">
        <v>7000</v>
      </c>
      <c r="E235" t="s">
        <v>133</v>
      </c>
      <c r="F235">
        <v>1084.94</v>
      </c>
      <c r="G235" t="s">
        <v>190</v>
      </c>
    </row>
    <row r="236" spans="1:7" x14ac:dyDescent="0.45">
      <c r="A236">
        <v>235</v>
      </c>
      <c r="B236" t="s">
        <v>73</v>
      </c>
      <c r="C236" t="s">
        <v>554</v>
      </c>
      <c r="D236">
        <v>4010</v>
      </c>
      <c r="E236" t="s">
        <v>101</v>
      </c>
      <c r="F236">
        <v>28145.58</v>
      </c>
      <c r="G236" t="s">
        <v>190</v>
      </c>
    </row>
    <row r="237" spans="1:7" x14ac:dyDescent="0.45">
      <c r="A237">
        <v>236</v>
      </c>
      <c r="B237" t="s">
        <v>73</v>
      </c>
      <c r="C237" t="s">
        <v>554</v>
      </c>
      <c r="D237">
        <v>4020</v>
      </c>
      <c r="E237" t="s">
        <v>103</v>
      </c>
      <c r="F237">
        <v>21911.31</v>
      </c>
      <c r="G237" t="s">
        <v>190</v>
      </c>
    </row>
    <row r="238" spans="1:7" x14ac:dyDescent="0.45">
      <c r="A238">
        <v>237</v>
      </c>
      <c r="B238" t="s">
        <v>73</v>
      </c>
      <c r="C238" t="s">
        <v>554</v>
      </c>
      <c r="D238">
        <v>4030</v>
      </c>
      <c r="E238" t="s">
        <v>105</v>
      </c>
      <c r="F238">
        <v>17228.43</v>
      </c>
      <c r="G238" t="s">
        <v>190</v>
      </c>
    </row>
    <row r="239" spans="1:7" x14ac:dyDescent="0.45">
      <c r="A239">
        <v>238</v>
      </c>
      <c r="B239" t="s">
        <v>73</v>
      </c>
      <c r="C239" t="s">
        <v>554</v>
      </c>
      <c r="D239">
        <v>6010</v>
      </c>
      <c r="E239" t="s">
        <v>119</v>
      </c>
      <c r="F239">
        <v>26739.4</v>
      </c>
      <c r="G239" t="s">
        <v>190</v>
      </c>
    </row>
    <row r="240" spans="1:7" x14ac:dyDescent="0.45">
      <c r="A240">
        <v>239</v>
      </c>
      <c r="B240" t="s">
        <v>73</v>
      </c>
      <c r="C240" t="s">
        <v>554</v>
      </c>
      <c r="D240">
        <v>6020</v>
      </c>
      <c r="E240" t="s">
        <v>121</v>
      </c>
      <c r="F240">
        <v>3899.62</v>
      </c>
      <c r="G240" t="s">
        <v>190</v>
      </c>
    </row>
    <row r="241" spans="1:7" x14ac:dyDescent="0.45">
      <c r="A241">
        <v>240</v>
      </c>
      <c r="B241" t="s">
        <v>73</v>
      </c>
      <c r="C241" t="s">
        <v>554</v>
      </c>
      <c r="D241">
        <v>6030</v>
      </c>
      <c r="E241" t="s">
        <v>123</v>
      </c>
      <c r="F241">
        <v>4328.54</v>
      </c>
      <c r="G241" t="s">
        <v>190</v>
      </c>
    </row>
    <row r="242" spans="1:7" x14ac:dyDescent="0.45">
      <c r="A242">
        <v>241</v>
      </c>
      <c r="B242" t="s">
        <v>73</v>
      </c>
      <c r="C242" t="s">
        <v>554</v>
      </c>
      <c r="D242">
        <v>6040</v>
      </c>
      <c r="E242" t="s">
        <v>125</v>
      </c>
      <c r="F242">
        <v>2254.87</v>
      </c>
      <c r="G242" t="s">
        <v>190</v>
      </c>
    </row>
    <row r="243" spans="1:7" x14ac:dyDescent="0.45">
      <c r="A243">
        <v>242</v>
      </c>
      <c r="B243" t="s">
        <v>73</v>
      </c>
      <c r="C243" t="s">
        <v>554</v>
      </c>
      <c r="D243">
        <v>6050</v>
      </c>
      <c r="E243" t="s">
        <v>127</v>
      </c>
      <c r="F243">
        <v>914.78</v>
      </c>
      <c r="G243" t="s">
        <v>190</v>
      </c>
    </row>
    <row r="244" spans="1:7" x14ac:dyDescent="0.45">
      <c r="A244">
        <v>243</v>
      </c>
      <c r="B244" t="s">
        <v>73</v>
      </c>
      <c r="C244" t="s">
        <v>554</v>
      </c>
      <c r="D244">
        <v>6060</v>
      </c>
      <c r="E244" t="s">
        <v>129</v>
      </c>
      <c r="F244">
        <v>1342.19</v>
      </c>
      <c r="G244" t="s">
        <v>190</v>
      </c>
    </row>
    <row r="245" spans="1:7" x14ac:dyDescent="0.45">
      <c r="A245">
        <v>244</v>
      </c>
      <c r="B245" t="s">
        <v>73</v>
      </c>
      <c r="C245" t="s">
        <v>554</v>
      </c>
      <c r="D245">
        <v>7000</v>
      </c>
      <c r="E245" t="s">
        <v>133</v>
      </c>
      <c r="F245">
        <v>671.51</v>
      </c>
      <c r="G245" t="s">
        <v>190</v>
      </c>
    </row>
    <row r="246" spans="1:7" x14ac:dyDescent="0.45">
      <c r="A246">
        <v>245</v>
      </c>
      <c r="B246" t="s">
        <v>74</v>
      </c>
      <c r="C246" t="s">
        <v>554</v>
      </c>
      <c r="D246">
        <v>4010</v>
      </c>
      <c r="E246" t="s">
        <v>101</v>
      </c>
      <c r="F246">
        <v>20963.650000000001</v>
      </c>
      <c r="G246" t="s">
        <v>190</v>
      </c>
    </row>
    <row r="247" spans="1:7" x14ac:dyDescent="0.45">
      <c r="A247">
        <v>246</v>
      </c>
      <c r="B247" t="s">
        <v>74</v>
      </c>
      <c r="C247" t="s">
        <v>554</v>
      </c>
      <c r="D247">
        <v>4020</v>
      </c>
      <c r="E247" t="s">
        <v>103</v>
      </c>
      <c r="F247">
        <v>16001.9</v>
      </c>
      <c r="G247" t="s">
        <v>190</v>
      </c>
    </row>
    <row r="248" spans="1:7" x14ac:dyDescent="0.45">
      <c r="A248">
        <v>247</v>
      </c>
      <c r="B248" t="s">
        <v>74</v>
      </c>
      <c r="C248" t="s">
        <v>554</v>
      </c>
      <c r="D248">
        <v>4030</v>
      </c>
      <c r="E248" t="s">
        <v>105</v>
      </c>
      <c r="F248">
        <v>12543.71</v>
      </c>
      <c r="G248" t="s">
        <v>190</v>
      </c>
    </row>
    <row r="249" spans="1:7" x14ac:dyDescent="0.45">
      <c r="A249">
        <v>248</v>
      </c>
      <c r="B249" t="s">
        <v>74</v>
      </c>
      <c r="C249" t="s">
        <v>554</v>
      </c>
      <c r="D249">
        <v>6010</v>
      </c>
      <c r="E249" t="s">
        <v>119</v>
      </c>
      <c r="F249">
        <v>23959.71</v>
      </c>
      <c r="G249" t="s">
        <v>190</v>
      </c>
    </row>
    <row r="250" spans="1:7" x14ac:dyDescent="0.45">
      <c r="A250">
        <v>249</v>
      </c>
      <c r="B250" t="s">
        <v>74</v>
      </c>
      <c r="C250" t="s">
        <v>554</v>
      </c>
      <c r="D250">
        <v>6020</v>
      </c>
      <c r="E250" t="s">
        <v>121</v>
      </c>
      <c r="F250">
        <v>3428.05</v>
      </c>
      <c r="G250" t="s">
        <v>190</v>
      </c>
    </row>
    <row r="251" spans="1:7" x14ac:dyDescent="0.45">
      <c r="A251">
        <v>250</v>
      </c>
      <c r="B251" t="s">
        <v>74</v>
      </c>
      <c r="C251" t="s">
        <v>554</v>
      </c>
      <c r="D251">
        <v>6030</v>
      </c>
      <c r="E251" t="s">
        <v>123</v>
      </c>
      <c r="F251">
        <v>3834.36</v>
      </c>
      <c r="G251" t="s">
        <v>190</v>
      </c>
    </row>
    <row r="252" spans="1:7" x14ac:dyDescent="0.45">
      <c r="A252">
        <v>251</v>
      </c>
      <c r="B252" t="s">
        <v>74</v>
      </c>
      <c r="C252" t="s">
        <v>554</v>
      </c>
      <c r="D252">
        <v>6040</v>
      </c>
      <c r="E252" t="s">
        <v>125</v>
      </c>
      <c r="F252">
        <v>1619.85</v>
      </c>
      <c r="G252" t="s">
        <v>190</v>
      </c>
    </row>
    <row r="253" spans="1:7" x14ac:dyDescent="0.45">
      <c r="A253">
        <v>252</v>
      </c>
      <c r="B253" t="s">
        <v>74</v>
      </c>
      <c r="C253" t="s">
        <v>554</v>
      </c>
      <c r="D253">
        <v>6050</v>
      </c>
      <c r="E253" t="s">
        <v>127</v>
      </c>
      <c r="F253">
        <v>810.43</v>
      </c>
      <c r="G253" t="s">
        <v>190</v>
      </c>
    </row>
    <row r="254" spans="1:7" x14ac:dyDescent="0.45">
      <c r="A254">
        <v>253</v>
      </c>
      <c r="B254" t="s">
        <v>74</v>
      </c>
      <c r="C254" t="s">
        <v>554</v>
      </c>
      <c r="D254">
        <v>6060</v>
      </c>
      <c r="E254" t="s">
        <v>129</v>
      </c>
      <c r="F254">
        <v>1278.6199999999999</v>
      </c>
      <c r="G254" t="s">
        <v>190</v>
      </c>
    </row>
    <row r="255" spans="1:7" x14ac:dyDescent="0.45">
      <c r="A255">
        <v>254</v>
      </c>
      <c r="B255" t="s">
        <v>74</v>
      </c>
      <c r="C255" t="s">
        <v>554</v>
      </c>
      <c r="D255">
        <v>7000</v>
      </c>
      <c r="E255" t="s">
        <v>133</v>
      </c>
      <c r="F255">
        <v>595.13</v>
      </c>
      <c r="G255" t="s">
        <v>190</v>
      </c>
    </row>
    <row r="256" spans="1:7" x14ac:dyDescent="0.45">
      <c r="A256">
        <v>255</v>
      </c>
      <c r="B256" t="s">
        <v>73</v>
      </c>
      <c r="C256" t="s">
        <v>554</v>
      </c>
      <c r="D256">
        <v>6070</v>
      </c>
      <c r="E256" t="s">
        <v>131</v>
      </c>
      <c r="F256">
        <v>3449.68</v>
      </c>
      <c r="G256" t="s">
        <v>190</v>
      </c>
    </row>
    <row r="257" spans="1:7" x14ac:dyDescent="0.45">
      <c r="A257">
        <v>256</v>
      </c>
      <c r="B257" t="s">
        <v>74</v>
      </c>
      <c r="C257" t="s">
        <v>554</v>
      </c>
      <c r="D257">
        <v>6070</v>
      </c>
      <c r="E257" t="s">
        <v>131</v>
      </c>
      <c r="F257">
        <v>3060.2</v>
      </c>
      <c r="G257" t="s">
        <v>190</v>
      </c>
    </row>
    <row r="258" spans="1:7" x14ac:dyDescent="0.45">
      <c r="A258">
        <v>257</v>
      </c>
      <c r="B258" t="s">
        <v>72</v>
      </c>
      <c r="C258" t="s">
        <v>1067</v>
      </c>
      <c r="D258">
        <v>4010</v>
      </c>
      <c r="E258" t="s">
        <v>101</v>
      </c>
      <c r="F258">
        <v>40280.379999999997</v>
      </c>
      <c r="G258" t="s">
        <v>191</v>
      </c>
    </row>
    <row r="259" spans="1:7" x14ac:dyDescent="0.45">
      <c r="A259">
        <v>258</v>
      </c>
      <c r="B259" t="s">
        <v>72</v>
      </c>
      <c r="C259" t="s">
        <v>1067</v>
      </c>
      <c r="D259">
        <v>4020</v>
      </c>
      <c r="E259" t="s">
        <v>103</v>
      </c>
      <c r="F259">
        <v>30746.22</v>
      </c>
      <c r="G259" t="s">
        <v>191</v>
      </c>
    </row>
    <row r="260" spans="1:7" x14ac:dyDescent="0.45">
      <c r="A260">
        <v>259</v>
      </c>
      <c r="B260" t="s">
        <v>72</v>
      </c>
      <c r="C260" t="s">
        <v>1067</v>
      </c>
      <c r="D260">
        <v>4030</v>
      </c>
      <c r="E260" t="s">
        <v>105</v>
      </c>
      <c r="F260">
        <v>25214.31</v>
      </c>
      <c r="G260" t="s">
        <v>191</v>
      </c>
    </row>
    <row r="261" spans="1:7" x14ac:dyDescent="0.45">
      <c r="A261">
        <v>260</v>
      </c>
      <c r="B261" t="s">
        <v>72</v>
      </c>
      <c r="C261" t="s">
        <v>1067</v>
      </c>
      <c r="D261">
        <v>6010</v>
      </c>
      <c r="E261" t="s">
        <v>119</v>
      </c>
      <c r="F261">
        <v>44176.480000000003</v>
      </c>
      <c r="G261" t="s">
        <v>191</v>
      </c>
    </row>
    <row r="262" spans="1:7" x14ac:dyDescent="0.45">
      <c r="A262">
        <v>261</v>
      </c>
      <c r="B262" t="s">
        <v>72</v>
      </c>
      <c r="C262" t="s">
        <v>1067</v>
      </c>
      <c r="D262">
        <v>6020</v>
      </c>
      <c r="E262" t="s">
        <v>121</v>
      </c>
      <c r="F262">
        <v>6335.46</v>
      </c>
      <c r="G262" t="s">
        <v>191</v>
      </c>
    </row>
    <row r="263" spans="1:7" x14ac:dyDescent="0.45">
      <c r="A263">
        <v>262</v>
      </c>
      <c r="B263" t="s">
        <v>72</v>
      </c>
      <c r="C263" t="s">
        <v>1067</v>
      </c>
      <c r="D263">
        <v>6030</v>
      </c>
      <c r="E263" t="s">
        <v>123</v>
      </c>
      <c r="F263">
        <v>7086.62</v>
      </c>
      <c r="G263" t="s">
        <v>191</v>
      </c>
    </row>
    <row r="264" spans="1:7" x14ac:dyDescent="0.45">
      <c r="A264">
        <v>263</v>
      </c>
      <c r="B264" t="s">
        <v>72</v>
      </c>
      <c r="C264" t="s">
        <v>1067</v>
      </c>
      <c r="D264">
        <v>6040</v>
      </c>
      <c r="E264" t="s">
        <v>125</v>
      </c>
      <c r="F264">
        <v>3109.25</v>
      </c>
      <c r="G264" t="s">
        <v>191</v>
      </c>
    </row>
    <row r="265" spans="1:7" x14ac:dyDescent="0.45">
      <c r="A265">
        <v>264</v>
      </c>
      <c r="B265" t="s">
        <v>72</v>
      </c>
      <c r="C265" t="s">
        <v>1067</v>
      </c>
      <c r="D265">
        <v>6050</v>
      </c>
      <c r="E265" t="s">
        <v>127</v>
      </c>
      <c r="F265">
        <v>1421.56</v>
      </c>
      <c r="G265" t="s">
        <v>191</v>
      </c>
    </row>
    <row r="266" spans="1:7" x14ac:dyDescent="0.45">
      <c r="A266">
        <v>265</v>
      </c>
      <c r="B266" t="s">
        <v>72</v>
      </c>
      <c r="C266" t="s">
        <v>1067</v>
      </c>
      <c r="D266">
        <v>6060</v>
      </c>
      <c r="E266" t="s">
        <v>129</v>
      </c>
      <c r="F266">
        <v>2171.67</v>
      </c>
      <c r="G266" t="s">
        <v>191</v>
      </c>
    </row>
    <row r="267" spans="1:7" x14ac:dyDescent="0.45">
      <c r="A267">
        <v>266</v>
      </c>
      <c r="B267" t="s">
        <v>72</v>
      </c>
      <c r="C267" t="s">
        <v>1067</v>
      </c>
      <c r="D267">
        <v>7000</v>
      </c>
      <c r="E267" t="s">
        <v>133</v>
      </c>
      <c r="F267">
        <v>1116.8599999999999</v>
      </c>
      <c r="G267" t="s">
        <v>191</v>
      </c>
    </row>
    <row r="268" spans="1:7" x14ac:dyDescent="0.45">
      <c r="A268">
        <v>267</v>
      </c>
      <c r="B268" t="s">
        <v>73</v>
      </c>
      <c r="C268" t="s">
        <v>1067</v>
      </c>
      <c r="D268">
        <v>4010</v>
      </c>
      <c r="E268" t="s">
        <v>101</v>
      </c>
      <c r="F268">
        <v>28406.99</v>
      </c>
      <c r="G268" t="s">
        <v>191</v>
      </c>
    </row>
    <row r="269" spans="1:7" x14ac:dyDescent="0.45">
      <c r="A269">
        <v>268</v>
      </c>
      <c r="B269" t="s">
        <v>73</v>
      </c>
      <c r="C269" t="s">
        <v>1067</v>
      </c>
      <c r="D269">
        <v>4020</v>
      </c>
      <c r="E269" t="s">
        <v>103</v>
      </c>
      <c r="F269">
        <v>22974.94</v>
      </c>
      <c r="G269" t="s">
        <v>191</v>
      </c>
    </row>
    <row r="270" spans="1:7" x14ac:dyDescent="0.45">
      <c r="A270">
        <v>269</v>
      </c>
      <c r="B270" t="s">
        <v>73</v>
      </c>
      <c r="C270" t="s">
        <v>1067</v>
      </c>
      <c r="D270">
        <v>4030</v>
      </c>
      <c r="E270" t="s">
        <v>105</v>
      </c>
      <c r="F270">
        <v>16972.32</v>
      </c>
      <c r="G270" t="s">
        <v>191</v>
      </c>
    </row>
    <row r="271" spans="1:7" x14ac:dyDescent="0.45">
      <c r="A271">
        <v>270</v>
      </c>
      <c r="B271" t="s">
        <v>73</v>
      </c>
      <c r="C271" t="s">
        <v>1067</v>
      </c>
      <c r="D271">
        <v>6010</v>
      </c>
      <c r="E271" t="s">
        <v>119</v>
      </c>
      <c r="F271">
        <v>27202.04</v>
      </c>
      <c r="G271" t="s">
        <v>191</v>
      </c>
    </row>
    <row r="272" spans="1:7" x14ac:dyDescent="0.45">
      <c r="A272">
        <v>271</v>
      </c>
      <c r="B272" t="s">
        <v>73</v>
      </c>
      <c r="C272" t="s">
        <v>1067</v>
      </c>
      <c r="D272">
        <v>6020</v>
      </c>
      <c r="E272" t="s">
        <v>121</v>
      </c>
      <c r="F272">
        <v>3843.54</v>
      </c>
      <c r="G272" t="s">
        <v>191</v>
      </c>
    </row>
    <row r="273" spans="1:7" x14ac:dyDescent="0.45">
      <c r="A273">
        <v>272</v>
      </c>
      <c r="B273" t="s">
        <v>73</v>
      </c>
      <c r="C273" t="s">
        <v>1067</v>
      </c>
      <c r="D273">
        <v>6030</v>
      </c>
      <c r="E273" t="s">
        <v>123</v>
      </c>
      <c r="F273">
        <v>4454.62</v>
      </c>
      <c r="G273" t="s">
        <v>191</v>
      </c>
    </row>
    <row r="274" spans="1:7" x14ac:dyDescent="0.45">
      <c r="A274">
        <v>273</v>
      </c>
      <c r="B274" t="s">
        <v>73</v>
      </c>
      <c r="C274" t="s">
        <v>1067</v>
      </c>
      <c r="D274">
        <v>6040</v>
      </c>
      <c r="E274" t="s">
        <v>125</v>
      </c>
      <c r="F274">
        <v>2373.83</v>
      </c>
      <c r="G274" t="s">
        <v>191</v>
      </c>
    </row>
    <row r="275" spans="1:7" x14ac:dyDescent="0.45">
      <c r="A275">
        <v>274</v>
      </c>
      <c r="B275" t="s">
        <v>73</v>
      </c>
      <c r="C275" t="s">
        <v>1067</v>
      </c>
      <c r="D275">
        <v>6050</v>
      </c>
      <c r="E275" t="s">
        <v>127</v>
      </c>
      <c r="F275">
        <v>911.97</v>
      </c>
      <c r="G275" t="s">
        <v>191</v>
      </c>
    </row>
    <row r="276" spans="1:7" x14ac:dyDescent="0.45">
      <c r="A276">
        <v>275</v>
      </c>
      <c r="B276" t="s">
        <v>73</v>
      </c>
      <c r="C276" t="s">
        <v>1067</v>
      </c>
      <c r="D276">
        <v>6060</v>
      </c>
      <c r="E276" t="s">
        <v>129</v>
      </c>
      <c r="F276">
        <v>1462.26</v>
      </c>
      <c r="G276" t="s">
        <v>191</v>
      </c>
    </row>
    <row r="277" spans="1:7" x14ac:dyDescent="0.45">
      <c r="A277">
        <v>276</v>
      </c>
      <c r="B277" t="s">
        <v>73</v>
      </c>
      <c r="C277" t="s">
        <v>1067</v>
      </c>
      <c r="D277">
        <v>7000</v>
      </c>
      <c r="E277" t="s">
        <v>133</v>
      </c>
      <c r="F277">
        <v>674.09</v>
      </c>
      <c r="G277" t="s">
        <v>191</v>
      </c>
    </row>
    <row r="278" spans="1:7" x14ac:dyDescent="0.45">
      <c r="A278">
        <v>277</v>
      </c>
      <c r="B278" t="s">
        <v>74</v>
      </c>
      <c r="C278" t="s">
        <v>1067</v>
      </c>
      <c r="D278">
        <v>4010</v>
      </c>
      <c r="E278" t="s">
        <v>101</v>
      </c>
      <c r="F278">
        <v>20913.349999999999</v>
      </c>
      <c r="G278" t="s">
        <v>191</v>
      </c>
    </row>
    <row r="279" spans="1:7" x14ac:dyDescent="0.45">
      <c r="A279">
        <v>278</v>
      </c>
      <c r="B279" t="s">
        <v>74</v>
      </c>
      <c r="C279" t="s">
        <v>1067</v>
      </c>
      <c r="D279">
        <v>4020</v>
      </c>
      <c r="E279" t="s">
        <v>103</v>
      </c>
      <c r="F279">
        <v>17615.580000000002</v>
      </c>
      <c r="G279" t="s">
        <v>191</v>
      </c>
    </row>
    <row r="280" spans="1:7" x14ac:dyDescent="0.45">
      <c r="A280">
        <v>279</v>
      </c>
      <c r="B280" t="s">
        <v>74</v>
      </c>
      <c r="C280" t="s">
        <v>1067</v>
      </c>
      <c r="D280">
        <v>4030</v>
      </c>
      <c r="E280" t="s">
        <v>105</v>
      </c>
      <c r="F280">
        <v>13482.85</v>
      </c>
      <c r="G280" t="s">
        <v>191</v>
      </c>
    </row>
    <row r="281" spans="1:7" x14ac:dyDescent="0.45">
      <c r="A281">
        <v>280</v>
      </c>
      <c r="B281" t="s">
        <v>74</v>
      </c>
      <c r="C281" t="s">
        <v>1067</v>
      </c>
      <c r="D281">
        <v>6010</v>
      </c>
      <c r="E281" t="s">
        <v>119</v>
      </c>
      <c r="F281">
        <v>24740.33</v>
      </c>
      <c r="G281" t="s">
        <v>191</v>
      </c>
    </row>
    <row r="282" spans="1:7" x14ac:dyDescent="0.45">
      <c r="A282">
        <v>281</v>
      </c>
      <c r="B282" t="s">
        <v>74</v>
      </c>
      <c r="C282" t="s">
        <v>1067</v>
      </c>
      <c r="D282">
        <v>6020</v>
      </c>
      <c r="E282" t="s">
        <v>121</v>
      </c>
      <c r="F282">
        <v>3383.01</v>
      </c>
      <c r="G282" t="s">
        <v>191</v>
      </c>
    </row>
    <row r="283" spans="1:7" x14ac:dyDescent="0.45">
      <c r="A283">
        <v>282</v>
      </c>
      <c r="B283" t="s">
        <v>74</v>
      </c>
      <c r="C283" t="s">
        <v>1067</v>
      </c>
      <c r="D283">
        <v>6030</v>
      </c>
      <c r="E283" t="s">
        <v>123</v>
      </c>
      <c r="F283">
        <v>3956.48</v>
      </c>
      <c r="G283" t="s">
        <v>191</v>
      </c>
    </row>
    <row r="284" spans="1:7" x14ac:dyDescent="0.45">
      <c r="A284">
        <v>283</v>
      </c>
      <c r="B284" t="s">
        <v>74</v>
      </c>
      <c r="C284" t="s">
        <v>1067</v>
      </c>
      <c r="D284">
        <v>6040</v>
      </c>
      <c r="E284" t="s">
        <v>125</v>
      </c>
      <c r="F284">
        <v>1864.45</v>
      </c>
      <c r="G284" t="s">
        <v>191</v>
      </c>
    </row>
    <row r="285" spans="1:7" x14ac:dyDescent="0.45">
      <c r="A285">
        <v>284</v>
      </c>
      <c r="B285" t="s">
        <v>74</v>
      </c>
      <c r="C285" t="s">
        <v>1067</v>
      </c>
      <c r="D285">
        <v>6050</v>
      </c>
      <c r="E285" t="s">
        <v>127</v>
      </c>
      <c r="F285">
        <v>812.69</v>
      </c>
      <c r="G285" t="s">
        <v>191</v>
      </c>
    </row>
    <row r="286" spans="1:7" x14ac:dyDescent="0.45">
      <c r="A286">
        <v>285</v>
      </c>
      <c r="B286" t="s">
        <v>74</v>
      </c>
      <c r="C286" t="s">
        <v>1067</v>
      </c>
      <c r="D286">
        <v>6060</v>
      </c>
      <c r="E286" t="s">
        <v>129</v>
      </c>
      <c r="F286">
        <v>1286.17</v>
      </c>
      <c r="G286" t="s">
        <v>191</v>
      </c>
    </row>
    <row r="287" spans="1:7" x14ac:dyDescent="0.45">
      <c r="A287">
        <v>286</v>
      </c>
      <c r="B287" t="s">
        <v>74</v>
      </c>
      <c r="C287" t="s">
        <v>1067</v>
      </c>
      <c r="D287">
        <v>7000</v>
      </c>
      <c r="E287" t="s">
        <v>133</v>
      </c>
      <c r="F287">
        <v>614.23</v>
      </c>
      <c r="G287" t="s">
        <v>191</v>
      </c>
    </row>
    <row r="288" spans="1:7" x14ac:dyDescent="0.45">
      <c r="A288">
        <v>287</v>
      </c>
      <c r="B288" t="s">
        <v>73</v>
      </c>
      <c r="C288" t="s">
        <v>1067</v>
      </c>
      <c r="D288">
        <v>6070</v>
      </c>
      <c r="E288" t="s">
        <v>131</v>
      </c>
      <c r="F288">
        <v>3481.92</v>
      </c>
      <c r="G288" t="s">
        <v>191</v>
      </c>
    </row>
    <row r="289" spans="1:7" x14ac:dyDescent="0.45">
      <c r="A289">
        <v>288</v>
      </c>
      <c r="B289" t="s">
        <v>74</v>
      </c>
      <c r="C289" t="s">
        <v>1067</v>
      </c>
      <c r="D289">
        <v>6070</v>
      </c>
      <c r="E289" t="s">
        <v>131</v>
      </c>
      <c r="F289">
        <v>3088.8</v>
      </c>
      <c r="G289" t="s">
        <v>191</v>
      </c>
    </row>
    <row r="290" spans="1:7" x14ac:dyDescent="0.45">
      <c r="A290">
        <v>289</v>
      </c>
      <c r="B290" t="s">
        <v>72</v>
      </c>
      <c r="C290" t="s">
        <v>646</v>
      </c>
      <c r="D290">
        <v>4010</v>
      </c>
      <c r="E290" t="s">
        <v>101</v>
      </c>
      <c r="F290">
        <v>38907.01</v>
      </c>
      <c r="G290" t="s">
        <v>192</v>
      </c>
    </row>
    <row r="291" spans="1:7" x14ac:dyDescent="0.45">
      <c r="A291">
        <v>290</v>
      </c>
      <c r="B291" t="s">
        <v>72</v>
      </c>
      <c r="C291" t="s">
        <v>646</v>
      </c>
      <c r="D291">
        <v>4020</v>
      </c>
      <c r="E291" t="s">
        <v>103</v>
      </c>
      <c r="F291">
        <v>29338.12</v>
      </c>
      <c r="G291" t="s">
        <v>192</v>
      </c>
    </row>
    <row r="292" spans="1:7" x14ac:dyDescent="0.45">
      <c r="A292">
        <v>291</v>
      </c>
      <c r="B292" t="s">
        <v>72</v>
      </c>
      <c r="C292" t="s">
        <v>646</v>
      </c>
      <c r="D292">
        <v>4030</v>
      </c>
      <c r="E292" t="s">
        <v>105</v>
      </c>
      <c r="F292">
        <v>23607.16</v>
      </c>
      <c r="G292" t="s">
        <v>192</v>
      </c>
    </row>
    <row r="293" spans="1:7" x14ac:dyDescent="0.45">
      <c r="A293">
        <v>292</v>
      </c>
      <c r="B293" t="s">
        <v>72</v>
      </c>
      <c r="C293" t="s">
        <v>646</v>
      </c>
      <c r="D293">
        <v>6010</v>
      </c>
      <c r="E293" t="s">
        <v>119</v>
      </c>
      <c r="F293">
        <v>46027.8</v>
      </c>
      <c r="G293" t="s">
        <v>192</v>
      </c>
    </row>
    <row r="294" spans="1:7" x14ac:dyDescent="0.45">
      <c r="A294">
        <v>293</v>
      </c>
      <c r="B294" t="s">
        <v>72</v>
      </c>
      <c r="C294" t="s">
        <v>646</v>
      </c>
      <c r="D294">
        <v>6020</v>
      </c>
      <c r="E294" t="s">
        <v>121</v>
      </c>
      <c r="F294">
        <v>6426.94</v>
      </c>
      <c r="G294" t="s">
        <v>192</v>
      </c>
    </row>
    <row r="295" spans="1:7" x14ac:dyDescent="0.45">
      <c r="A295">
        <v>294</v>
      </c>
      <c r="B295" t="s">
        <v>72</v>
      </c>
      <c r="C295" t="s">
        <v>646</v>
      </c>
      <c r="D295">
        <v>6030</v>
      </c>
      <c r="E295" t="s">
        <v>123</v>
      </c>
      <c r="F295">
        <v>7039.72</v>
      </c>
      <c r="G295" t="s">
        <v>192</v>
      </c>
    </row>
    <row r="296" spans="1:7" x14ac:dyDescent="0.45">
      <c r="A296">
        <v>295</v>
      </c>
      <c r="B296" t="s">
        <v>72</v>
      </c>
      <c r="C296" t="s">
        <v>646</v>
      </c>
      <c r="D296">
        <v>6040</v>
      </c>
      <c r="E296" t="s">
        <v>125</v>
      </c>
      <c r="F296">
        <v>3147.25</v>
      </c>
      <c r="G296" t="s">
        <v>192</v>
      </c>
    </row>
    <row r="297" spans="1:7" x14ac:dyDescent="0.45">
      <c r="A297">
        <v>296</v>
      </c>
      <c r="B297" t="s">
        <v>72</v>
      </c>
      <c r="C297" t="s">
        <v>646</v>
      </c>
      <c r="D297">
        <v>6050</v>
      </c>
      <c r="E297" t="s">
        <v>127</v>
      </c>
      <c r="F297">
        <v>1427.27</v>
      </c>
      <c r="G297" t="s">
        <v>192</v>
      </c>
    </row>
    <row r="298" spans="1:7" x14ac:dyDescent="0.45">
      <c r="A298">
        <v>297</v>
      </c>
      <c r="B298" t="s">
        <v>72</v>
      </c>
      <c r="C298" t="s">
        <v>646</v>
      </c>
      <c r="D298">
        <v>6060</v>
      </c>
      <c r="E298" t="s">
        <v>129</v>
      </c>
      <c r="F298">
        <v>2374.19</v>
      </c>
      <c r="G298" t="s">
        <v>192</v>
      </c>
    </row>
    <row r="299" spans="1:7" x14ac:dyDescent="0.45">
      <c r="A299">
        <v>298</v>
      </c>
      <c r="B299" t="s">
        <v>72</v>
      </c>
      <c r="C299" t="s">
        <v>646</v>
      </c>
      <c r="D299">
        <v>7000</v>
      </c>
      <c r="E299" t="s">
        <v>133</v>
      </c>
      <c r="F299">
        <v>1115.78</v>
      </c>
      <c r="G299" t="s">
        <v>192</v>
      </c>
    </row>
    <row r="300" spans="1:7" x14ac:dyDescent="0.45">
      <c r="A300">
        <v>299</v>
      </c>
      <c r="B300" t="s">
        <v>73</v>
      </c>
      <c r="C300" t="s">
        <v>646</v>
      </c>
      <c r="D300">
        <v>4010</v>
      </c>
      <c r="E300" t="s">
        <v>101</v>
      </c>
      <c r="F300">
        <v>25482.34</v>
      </c>
      <c r="G300" t="s">
        <v>192</v>
      </c>
    </row>
    <row r="301" spans="1:7" x14ac:dyDescent="0.45">
      <c r="A301">
        <v>300</v>
      </c>
      <c r="B301" t="s">
        <v>73</v>
      </c>
      <c r="C301" t="s">
        <v>646</v>
      </c>
      <c r="D301">
        <v>4020</v>
      </c>
      <c r="E301" t="s">
        <v>103</v>
      </c>
      <c r="F301">
        <v>19316.71</v>
      </c>
      <c r="G301" t="s">
        <v>192</v>
      </c>
    </row>
    <row r="302" spans="1:7" x14ac:dyDescent="0.45">
      <c r="A302">
        <v>301</v>
      </c>
      <c r="B302" t="s">
        <v>73</v>
      </c>
      <c r="C302" t="s">
        <v>646</v>
      </c>
      <c r="D302">
        <v>4030</v>
      </c>
      <c r="E302" t="s">
        <v>105</v>
      </c>
      <c r="F302">
        <v>14401.3</v>
      </c>
      <c r="G302" t="s">
        <v>192</v>
      </c>
    </row>
    <row r="303" spans="1:7" x14ac:dyDescent="0.45">
      <c r="A303">
        <v>302</v>
      </c>
      <c r="B303" t="s">
        <v>73</v>
      </c>
      <c r="C303" t="s">
        <v>646</v>
      </c>
      <c r="D303">
        <v>6010</v>
      </c>
      <c r="E303" t="s">
        <v>119</v>
      </c>
      <c r="F303">
        <v>27640.91</v>
      </c>
      <c r="G303" t="s">
        <v>192</v>
      </c>
    </row>
    <row r="304" spans="1:7" x14ac:dyDescent="0.45">
      <c r="A304">
        <v>303</v>
      </c>
      <c r="B304" t="s">
        <v>73</v>
      </c>
      <c r="C304" t="s">
        <v>646</v>
      </c>
      <c r="D304">
        <v>6020</v>
      </c>
      <c r="E304" t="s">
        <v>121</v>
      </c>
      <c r="F304">
        <v>3829.52</v>
      </c>
      <c r="G304" t="s">
        <v>192</v>
      </c>
    </row>
    <row r="305" spans="1:7" x14ac:dyDescent="0.45">
      <c r="A305">
        <v>304</v>
      </c>
      <c r="B305" t="s">
        <v>73</v>
      </c>
      <c r="C305" t="s">
        <v>646</v>
      </c>
      <c r="D305">
        <v>6030</v>
      </c>
      <c r="E305" t="s">
        <v>123</v>
      </c>
      <c r="F305">
        <v>4351.6400000000003</v>
      </c>
      <c r="G305" t="s">
        <v>192</v>
      </c>
    </row>
    <row r="306" spans="1:7" x14ac:dyDescent="0.45">
      <c r="A306">
        <v>305</v>
      </c>
      <c r="B306" t="s">
        <v>73</v>
      </c>
      <c r="C306" t="s">
        <v>646</v>
      </c>
      <c r="D306">
        <v>6040</v>
      </c>
      <c r="E306" t="s">
        <v>125</v>
      </c>
      <c r="F306">
        <v>1785.69</v>
      </c>
      <c r="G306" t="s">
        <v>192</v>
      </c>
    </row>
    <row r="307" spans="1:7" x14ac:dyDescent="0.45">
      <c r="A307">
        <v>306</v>
      </c>
      <c r="B307" t="s">
        <v>73</v>
      </c>
      <c r="C307" t="s">
        <v>646</v>
      </c>
      <c r="D307">
        <v>6050</v>
      </c>
      <c r="E307" t="s">
        <v>127</v>
      </c>
      <c r="F307">
        <v>912.1</v>
      </c>
      <c r="G307" t="s">
        <v>192</v>
      </c>
    </row>
    <row r="308" spans="1:7" x14ac:dyDescent="0.45">
      <c r="A308">
        <v>307</v>
      </c>
      <c r="B308" t="s">
        <v>73</v>
      </c>
      <c r="C308" t="s">
        <v>646</v>
      </c>
      <c r="D308">
        <v>6060</v>
      </c>
      <c r="E308" t="s">
        <v>129</v>
      </c>
      <c r="F308">
        <v>1485.44</v>
      </c>
      <c r="G308" t="s">
        <v>192</v>
      </c>
    </row>
    <row r="309" spans="1:7" x14ac:dyDescent="0.45">
      <c r="A309">
        <v>308</v>
      </c>
      <c r="B309" t="s">
        <v>73</v>
      </c>
      <c r="C309" t="s">
        <v>646</v>
      </c>
      <c r="D309">
        <v>7000</v>
      </c>
      <c r="E309" t="s">
        <v>133</v>
      </c>
      <c r="F309">
        <v>675.97</v>
      </c>
      <c r="G309" t="s">
        <v>192</v>
      </c>
    </row>
    <row r="310" spans="1:7" x14ac:dyDescent="0.45">
      <c r="A310">
        <v>309</v>
      </c>
      <c r="B310" t="s">
        <v>74</v>
      </c>
      <c r="C310" t="s">
        <v>646</v>
      </c>
      <c r="D310">
        <v>4010</v>
      </c>
      <c r="E310" t="s">
        <v>101</v>
      </c>
      <c r="F310">
        <v>23779.360000000001</v>
      </c>
      <c r="G310" t="s">
        <v>192</v>
      </c>
    </row>
    <row r="311" spans="1:7" x14ac:dyDescent="0.45">
      <c r="A311">
        <v>310</v>
      </c>
      <c r="B311" t="s">
        <v>74</v>
      </c>
      <c r="C311" t="s">
        <v>646</v>
      </c>
      <c r="D311">
        <v>4020</v>
      </c>
      <c r="E311" t="s">
        <v>103</v>
      </c>
      <c r="F311">
        <v>19803.830000000002</v>
      </c>
      <c r="G311" t="s">
        <v>192</v>
      </c>
    </row>
    <row r="312" spans="1:7" x14ac:dyDescent="0.45">
      <c r="A312">
        <v>311</v>
      </c>
      <c r="B312" t="s">
        <v>74</v>
      </c>
      <c r="C312" t="s">
        <v>646</v>
      </c>
      <c r="D312">
        <v>4030</v>
      </c>
      <c r="E312" t="s">
        <v>105</v>
      </c>
      <c r="F312">
        <v>14353.63</v>
      </c>
      <c r="G312" t="s">
        <v>192</v>
      </c>
    </row>
    <row r="313" spans="1:7" x14ac:dyDescent="0.45">
      <c r="A313">
        <v>312</v>
      </c>
      <c r="B313" t="s">
        <v>74</v>
      </c>
      <c r="C313" t="s">
        <v>646</v>
      </c>
      <c r="D313">
        <v>6010</v>
      </c>
      <c r="E313" t="s">
        <v>119</v>
      </c>
      <c r="F313">
        <v>24379.93</v>
      </c>
      <c r="G313" t="s">
        <v>192</v>
      </c>
    </row>
    <row r="314" spans="1:7" x14ac:dyDescent="0.45">
      <c r="A314">
        <v>313</v>
      </c>
      <c r="B314" t="s">
        <v>74</v>
      </c>
      <c r="C314" t="s">
        <v>646</v>
      </c>
      <c r="D314">
        <v>6020</v>
      </c>
      <c r="E314" t="s">
        <v>121</v>
      </c>
      <c r="F314">
        <v>3562.74</v>
      </c>
      <c r="G314" t="s">
        <v>192</v>
      </c>
    </row>
    <row r="315" spans="1:7" x14ac:dyDescent="0.45">
      <c r="A315">
        <v>314</v>
      </c>
      <c r="B315" t="s">
        <v>74</v>
      </c>
      <c r="C315" t="s">
        <v>646</v>
      </c>
      <c r="D315">
        <v>6030</v>
      </c>
      <c r="E315" t="s">
        <v>123</v>
      </c>
      <c r="F315">
        <v>3858.05</v>
      </c>
      <c r="G315" t="s">
        <v>192</v>
      </c>
    </row>
    <row r="316" spans="1:7" x14ac:dyDescent="0.45">
      <c r="A316">
        <v>315</v>
      </c>
      <c r="B316" t="s">
        <v>74</v>
      </c>
      <c r="C316" t="s">
        <v>646</v>
      </c>
      <c r="D316">
        <v>6040</v>
      </c>
      <c r="E316" t="s">
        <v>125</v>
      </c>
      <c r="F316">
        <v>2086.64</v>
      </c>
      <c r="G316" t="s">
        <v>192</v>
      </c>
    </row>
    <row r="317" spans="1:7" x14ac:dyDescent="0.45">
      <c r="A317">
        <v>316</v>
      </c>
      <c r="B317" t="s">
        <v>74</v>
      </c>
      <c r="C317" t="s">
        <v>646</v>
      </c>
      <c r="D317">
        <v>6050</v>
      </c>
      <c r="E317" t="s">
        <v>127</v>
      </c>
      <c r="F317">
        <v>790.02</v>
      </c>
      <c r="G317" t="s">
        <v>192</v>
      </c>
    </row>
    <row r="318" spans="1:7" x14ac:dyDescent="0.45">
      <c r="A318">
        <v>317</v>
      </c>
      <c r="B318" t="s">
        <v>74</v>
      </c>
      <c r="C318" t="s">
        <v>646</v>
      </c>
      <c r="D318">
        <v>6060</v>
      </c>
      <c r="E318" t="s">
        <v>129</v>
      </c>
      <c r="F318">
        <v>1209.6500000000001</v>
      </c>
      <c r="G318" t="s">
        <v>192</v>
      </c>
    </row>
    <row r="319" spans="1:7" x14ac:dyDescent="0.45">
      <c r="A319">
        <v>318</v>
      </c>
      <c r="B319" t="s">
        <v>74</v>
      </c>
      <c r="C319" t="s">
        <v>646</v>
      </c>
      <c r="D319">
        <v>7000</v>
      </c>
      <c r="E319" t="s">
        <v>133</v>
      </c>
      <c r="F319">
        <v>603.41999999999996</v>
      </c>
      <c r="G319" t="s">
        <v>192</v>
      </c>
    </row>
    <row r="320" spans="1:7" x14ac:dyDescent="0.45">
      <c r="A320">
        <v>319</v>
      </c>
      <c r="B320" t="s">
        <v>73</v>
      </c>
      <c r="C320" t="s">
        <v>646</v>
      </c>
      <c r="D320">
        <v>6070</v>
      </c>
      <c r="E320" t="s">
        <v>131</v>
      </c>
      <c r="F320">
        <v>3514.16</v>
      </c>
      <c r="G320" t="s">
        <v>192</v>
      </c>
    </row>
    <row r="321" spans="1:7" x14ac:dyDescent="0.45">
      <c r="A321">
        <v>320</v>
      </c>
      <c r="B321" t="s">
        <v>74</v>
      </c>
      <c r="C321" t="s">
        <v>646</v>
      </c>
      <c r="D321">
        <v>6070</v>
      </c>
      <c r="E321" t="s">
        <v>131</v>
      </c>
      <c r="F321">
        <v>3117.4</v>
      </c>
      <c r="G321" t="s">
        <v>192</v>
      </c>
    </row>
    <row r="322" spans="1:7" x14ac:dyDescent="0.45">
      <c r="A322">
        <v>321</v>
      </c>
      <c r="B322" t="s">
        <v>72</v>
      </c>
      <c r="C322" t="s">
        <v>693</v>
      </c>
      <c r="D322">
        <v>4010</v>
      </c>
      <c r="E322" t="s">
        <v>101</v>
      </c>
      <c r="F322">
        <v>44112.86</v>
      </c>
      <c r="G322" t="s">
        <v>193</v>
      </c>
    </row>
    <row r="323" spans="1:7" x14ac:dyDescent="0.45">
      <c r="A323">
        <v>322</v>
      </c>
      <c r="B323" t="s">
        <v>72</v>
      </c>
      <c r="C323" t="s">
        <v>693</v>
      </c>
      <c r="D323">
        <v>4020</v>
      </c>
      <c r="E323" t="s">
        <v>103</v>
      </c>
      <c r="F323">
        <v>35714.769999999997</v>
      </c>
      <c r="G323" t="s">
        <v>193</v>
      </c>
    </row>
    <row r="324" spans="1:7" x14ac:dyDescent="0.45">
      <c r="A324">
        <v>323</v>
      </c>
      <c r="B324" t="s">
        <v>72</v>
      </c>
      <c r="C324" t="s">
        <v>693</v>
      </c>
      <c r="D324">
        <v>4030</v>
      </c>
      <c r="E324" t="s">
        <v>105</v>
      </c>
      <c r="F324">
        <v>26797.75</v>
      </c>
      <c r="G324" t="s">
        <v>193</v>
      </c>
    </row>
    <row r="325" spans="1:7" x14ac:dyDescent="0.45">
      <c r="A325">
        <v>324</v>
      </c>
      <c r="B325" t="s">
        <v>72</v>
      </c>
      <c r="C325" t="s">
        <v>693</v>
      </c>
      <c r="D325">
        <v>6010</v>
      </c>
      <c r="E325" t="s">
        <v>119</v>
      </c>
      <c r="F325">
        <v>45866.25</v>
      </c>
      <c r="G325" t="s">
        <v>193</v>
      </c>
    </row>
    <row r="326" spans="1:7" x14ac:dyDescent="0.45">
      <c r="A326">
        <v>325</v>
      </c>
      <c r="B326" t="s">
        <v>72</v>
      </c>
      <c r="C326" t="s">
        <v>693</v>
      </c>
      <c r="D326">
        <v>6020</v>
      </c>
      <c r="E326" t="s">
        <v>121</v>
      </c>
      <c r="F326">
        <v>6317.81</v>
      </c>
      <c r="G326" t="s">
        <v>193</v>
      </c>
    </row>
    <row r="327" spans="1:7" x14ac:dyDescent="0.45">
      <c r="A327">
        <v>326</v>
      </c>
      <c r="B327" t="s">
        <v>72</v>
      </c>
      <c r="C327" t="s">
        <v>693</v>
      </c>
      <c r="D327">
        <v>6030</v>
      </c>
      <c r="E327" t="s">
        <v>123</v>
      </c>
      <c r="F327">
        <v>7199.63</v>
      </c>
      <c r="G327" t="s">
        <v>193</v>
      </c>
    </row>
    <row r="328" spans="1:7" x14ac:dyDescent="0.45">
      <c r="A328">
        <v>327</v>
      </c>
      <c r="B328" t="s">
        <v>72</v>
      </c>
      <c r="C328" t="s">
        <v>693</v>
      </c>
      <c r="D328">
        <v>6040</v>
      </c>
      <c r="E328" t="s">
        <v>125</v>
      </c>
      <c r="F328">
        <v>2885.69</v>
      </c>
      <c r="G328" t="s">
        <v>193</v>
      </c>
    </row>
    <row r="329" spans="1:7" x14ac:dyDescent="0.45">
      <c r="A329">
        <v>328</v>
      </c>
      <c r="B329" t="s">
        <v>72</v>
      </c>
      <c r="C329" t="s">
        <v>693</v>
      </c>
      <c r="D329">
        <v>6050</v>
      </c>
      <c r="E329" t="s">
        <v>127</v>
      </c>
      <c r="F329">
        <v>1474.68</v>
      </c>
      <c r="G329" t="s">
        <v>193</v>
      </c>
    </row>
    <row r="330" spans="1:7" x14ac:dyDescent="0.45">
      <c r="A330">
        <v>329</v>
      </c>
      <c r="B330" t="s">
        <v>72</v>
      </c>
      <c r="C330" t="s">
        <v>693</v>
      </c>
      <c r="D330">
        <v>6060</v>
      </c>
      <c r="E330" t="s">
        <v>129</v>
      </c>
      <c r="F330">
        <v>2318.88</v>
      </c>
      <c r="G330" t="s">
        <v>193</v>
      </c>
    </row>
    <row r="331" spans="1:7" x14ac:dyDescent="0.45">
      <c r="A331">
        <v>330</v>
      </c>
      <c r="B331" t="s">
        <v>72</v>
      </c>
      <c r="C331" t="s">
        <v>693</v>
      </c>
      <c r="D331">
        <v>7000</v>
      </c>
      <c r="E331" t="s">
        <v>133</v>
      </c>
      <c r="F331">
        <v>1109.6500000000001</v>
      </c>
      <c r="G331" t="s">
        <v>193</v>
      </c>
    </row>
    <row r="332" spans="1:7" x14ac:dyDescent="0.45">
      <c r="A332">
        <v>331</v>
      </c>
      <c r="B332" t="s">
        <v>73</v>
      </c>
      <c r="C332" t="s">
        <v>693</v>
      </c>
      <c r="D332">
        <v>4010</v>
      </c>
      <c r="E332" t="s">
        <v>101</v>
      </c>
      <c r="F332">
        <v>28444.36</v>
      </c>
      <c r="G332" t="s">
        <v>193</v>
      </c>
    </row>
    <row r="333" spans="1:7" x14ac:dyDescent="0.45">
      <c r="A333">
        <v>332</v>
      </c>
      <c r="B333" t="s">
        <v>73</v>
      </c>
      <c r="C333" t="s">
        <v>693</v>
      </c>
      <c r="D333">
        <v>4020</v>
      </c>
      <c r="E333" t="s">
        <v>103</v>
      </c>
      <c r="F333">
        <v>21662.33</v>
      </c>
      <c r="G333" t="s">
        <v>193</v>
      </c>
    </row>
    <row r="334" spans="1:7" x14ac:dyDescent="0.45">
      <c r="A334">
        <v>333</v>
      </c>
      <c r="B334" t="s">
        <v>73</v>
      </c>
      <c r="C334" t="s">
        <v>693</v>
      </c>
      <c r="D334">
        <v>4030</v>
      </c>
      <c r="E334" t="s">
        <v>105</v>
      </c>
      <c r="F334">
        <v>15911.19</v>
      </c>
      <c r="G334" t="s">
        <v>193</v>
      </c>
    </row>
    <row r="335" spans="1:7" x14ac:dyDescent="0.45">
      <c r="A335">
        <v>334</v>
      </c>
      <c r="B335" t="s">
        <v>73</v>
      </c>
      <c r="C335" t="s">
        <v>693</v>
      </c>
      <c r="D335">
        <v>6010</v>
      </c>
      <c r="E335" t="s">
        <v>119</v>
      </c>
      <c r="F335">
        <v>28086.33</v>
      </c>
      <c r="G335" t="s">
        <v>193</v>
      </c>
    </row>
    <row r="336" spans="1:7" x14ac:dyDescent="0.45">
      <c r="A336">
        <v>335</v>
      </c>
      <c r="B336" t="s">
        <v>73</v>
      </c>
      <c r="C336" t="s">
        <v>693</v>
      </c>
      <c r="D336">
        <v>6020</v>
      </c>
      <c r="E336" t="s">
        <v>121</v>
      </c>
      <c r="F336">
        <v>3928.85</v>
      </c>
      <c r="G336" t="s">
        <v>193</v>
      </c>
    </row>
    <row r="337" spans="1:7" x14ac:dyDescent="0.45">
      <c r="A337">
        <v>336</v>
      </c>
      <c r="B337" t="s">
        <v>73</v>
      </c>
      <c r="C337" t="s">
        <v>693</v>
      </c>
      <c r="D337">
        <v>6030</v>
      </c>
      <c r="E337" t="s">
        <v>123</v>
      </c>
      <c r="F337">
        <v>4488.42</v>
      </c>
      <c r="G337" t="s">
        <v>193</v>
      </c>
    </row>
    <row r="338" spans="1:7" x14ac:dyDescent="0.45">
      <c r="A338">
        <v>337</v>
      </c>
      <c r="B338" t="s">
        <v>73</v>
      </c>
      <c r="C338" t="s">
        <v>693</v>
      </c>
      <c r="D338">
        <v>6040</v>
      </c>
      <c r="E338" t="s">
        <v>125</v>
      </c>
      <c r="F338">
        <v>2248.52</v>
      </c>
      <c r="G338" t="s">
        <v>193</v>
      </c>
    </row>
    <row r="339" spans="1:7" x14ac:dyDescent="0.45">
      <c r="A339">
        <v>338</v>
      </c>
      <c r="B339" t="s">
        <v>73</v>
      </c>
      <c r="C339" t="s">
        <v>693</v>
      </c>
      <c r="D339">
        <v>6050</v>
      </c>
      <c r="E339" t="s">
        <v>127</v>
      </c>
      <c r="F339">
        <v>891.82</v>
      </c>
      <c r="G339" t="s">
        <v>193</v>
      </c>
    </row>
    <row r="340" spans="1:7" x14ac:dyDescent="0.45">
      <c r="A340">
        <v>339</v>
      </c>
      <c r="B340" t="s">
        <v>73</v>
      </c>
      <c r="C340" t="s">
        <v>693</v>
      </c>
      <c r="D340">
        <v>6060</v>
      </c>
      <c r="E340" t="s">
        <v>129</v>
      </c>
      <c r="F340">
        <v>1404.89</v>
      </c>
      <c r="G340" t="s">
        <v>193</v>
      </c>
    </row>
    <row r="341" spans="1:7" x14ac:dyDescent="0.45">
      <c r="A341">
        <v>340</v>
      </c>
      <c r="B341" t="s">
        <v>73</v>
      </c>
      <c r="C341" t="s">
        <v>693</v>
      </c>
      <c r="D341">
        <v>7000</v>
      </c>
      <c r="E341" t="s">
        <v>133</v>
      </c>
      <c r="F341">
        <v>679.5</v>
      </c>
      <c r="G341" t="s">
        <v>193</v>
      </c>
    </row>
    <row r="342" spans="1:7" x14ac:dyDescent="0.45">
      <c r="A342">
        <v>341</v>
      </c>
      <c r="B342" t="s">
        <v>74</v>
      </c>
      <c r="C342" t="s">
        <v>693</v>
      </c>
      <c r="D342">
        <v>4010</v>
      </c>
      <c r="E342" t="s">
        <v>101</v>
      </c>
      <c r="F342">
        <v>22577.79</v>
      </c>
      <c r="G342" t="s">
        <v>193</v>
      </c>
    </row>
    <row r="343" spans="1:7" x14ac:dyDescent="0.45">
      <c r="A343">
        <v>342</v>
      </c>
      <c r="B343" t="s">
        <v>74</v>
      </c>
      <c r="C343" t="s">
        <v>693</v>
      </c>
      <c r="D343">
        <v>4020</v>
      </c>
      <c r="E343" t="s">
        <v>103</v>
      </c>
      <c r="F343">
        <v>17428.419999999998</v>
      </c>
      <c r="G343" t="s">
        <v>193</v>
      </c>
    </row>
    <row r="344" spans="1:7" x14ac:dyDescent="0.45">
      <c r="A344">
        <v>343</v>
      </c>
      <c r="B344" t="s">
        <v>74</v>
      </c>
      <c r="C344" t="s">
        <v>693</v>
      </c>
      <c r="D344">
        <v>4030</v>
      </c>
      <c r="E344" t="s">
        <v>105</v>
      </c>
      <c r="F344">
        <v>13613.94</v>
      </c>
      <c r="G344" t="s">
        <v>193</v>
      </c>
    </row>
    <row r="345" spans="1:7" x14ac:dyDescent="0.45">
      <c r="A345">
        <v>344</v>
      </c>
      <c r="B345" t="s">
        <v>74</v>
      </c>
      <c r="C345" t="s">
        <v>693</v>
      </c>
      <c r="D345">
        <v>6010</v>
      </c>
      <c r="E345" t="s">
        <v>119</v>
      </c>
      <c r="F345">
        <v>25353.64</v>
      </c>
      <c r="G345" t="s">
        <v>193</v>
      </c>
    </row>
    <row r="346" spans="1:7" x14ac:dyDescent="0.45">
      <c r="A346">
        <v>345</v>
      </c>
      <c r="B346" t="s">
        <v>74</v>
      </c>
      <c r="C346" t="s">
        <v>693</v>
      </c>
      <c r="D346">
        <v>6020</v>
      </c>
      <c r="E346" t="s">
        <v>121</v>
      </c>
      <c r="F346">
        <v>3589.37</v>
      </c>
      <c r="G346" t="s">
        <v>193</v>
      </c>
    </row>
    <row r="347" spans="1:7" x14ac:dyDescent="0.45">
      <c r="A347">
        <v>346</v>
      </c>
      <c r="B347" t="s">
        <v>74</v>
      </c>
      <c r="C347" t="s">
        <v>693</v>
      </c>
      <c r="D347">
        <v>6030</v>
      </c>
      <c r="E347" t="s">
        <v>123</v>
      </c>
      <c r="F347">
        <v>3945.15</v>
      </c>
      <c r="G347" t="s">
        <v>193</v>
      </c>
    </row>
    <row r="348" spans="1:7" x14ac:dyDescent="0.45">
      <c r="A348">
        <v>347</v>
      </c>
      <c r="B348" t="s">
        <v>74</v>
      </c>
      <c r="C348" t="s">
        <v>693</v>
      </c>
      <c r="D348">
        <v>6040</v>
      </c>
      <c r="E348" t="s">
        <v>125</v>
      </c>
      <c r="F348">
        <v>1635.92</v>
      </c>
      <c r="G348" t="s">
        <v>193</v>
      </c>
    </row>
    <row r="349" spans="1:7" x14ac:dyDescent="0.45">
      <c r="A349">
        <v>348</v>
      </c>
      <c r="B349" t="s">
        <v>74</v>
      </c>
      <c r="C349" t="s">
        <v>693</v>
      </c>
      <c r="D349">
        <v>6050</v>
      </c>
      <c r="E349" t="s">
        <v>127</v>
      </c>
      <c r="F349">
        <v>799.03</v>
      </c>
      <c r="G349" t="s">
        <v>193</v>
      </c>
    </row>
    <row r="350" spans="1:7" x14ac:dyDescent="0.45">
      <c r="A350">
        <v>349</v>
      </c>
      <c r="B350" t="s">
        <v>74</v>
      </c>
      <c r="C350" t="s">
        <v>693</v>
      </c>
      <c r="D350">
        <v>6060</v>
      </c>
      <c r="E350" t="s">
        <v>129</v>
      </c>
      <c r="F350">
        <v>1207.03</v>
      </c>
      <c r="G350" t="s">
        <v>193</v>
      </c>
    </row>
    <row r="351" spans="1:7" x14ac:dyDescent="0.45">
      <c r="A351">
        <v>350</v>
      </c>
      <c r="B351" t="s">
        <v>74</v>
      </c>
      <c r="C351" t="s">
        <v>693</v>
      </c>
      <c r="D351">
        <v>7000</v>
      </c>
      <c r="E351" t="s">
        <v>133</v>
      </c>
      <c r="F351">
        <v>599.84</v>
      </c>
      <c r="G351" t="s">
        <v>193</v>
      </c>
    </row>
    <row r="352" spans="1:7" x14ac:dyDescent="0.45">
      <c r="A352">
        <v>351</v>
      </c>
      <c r="B352" t="s">
        <v>73</v>
      </c>
      <c r="C352" t="s">
        <v>693</v>
      </c>
      <c r="D352">
        <v>6070</v>
      </c>
      <c r="E352" t="s">
        <v>131</v>
      </c>
      <c r="F352">
        <v>3546.4</v>
      </c>
      <c r="G352" t="s">
        <v>193</v>
      </c>
    </row>
    <row r="353" spans="1:7" x14ac:dyDescent="0.45">
      <c r="A353">
        <v>352</v>
      </c>
      <c r="B353" t="s">
        <v>74</v>
      </c>
      <c r="C353" t="s">
        <v>693</v>
      </c>
      <c r="D353">
        <v>6070</v>
      </c>
      <c r="E353" t="s">
        <v>131</v>
      </c>
      <c r="F353">
        <v>3146</v>
      </c>
      <c r="G353" t="s">
        <v>193</v>
      </c>
    </row>
    <row r="354" spans="1:7" x14ac:dyDescent="0.45">
      <c r="A354">
        <v>353</v>
      </c>
      <c r="B354" t="s">
        <v>72</v>
      </c>
      <c r="C354" t="s">
        <v>1068</v>
      </c>
      <c r="D354">
        <v>4010</v>
      </c>
      <c r="E354" t="s">
        <v>101</v>
      </c>
      <c r="F354">
        <v>42981.11</v>
      </c>
      <c r="G354" t="s">
        <v>194</v>
      </c>
    </row>
    <row r="355" spans="1:7" x14ac:dyDescent="0.45">
      <c r="A355">
        <v>354</v>
      </c>
      <c r="B355" t="s">
        <v>72</v>
      </c>
      <c r="C355" t="s">
        <v>1068</v>
      </c>
      <c r="D355">
        <v>4020</v>
      </c>
      <c r="E355" t="s">
        <v>103</v>
      </c>
      <c r="F355">
        <v>34026.269999999997</v>
      </c>
      <c r="G355" t="s">
        <v>194</v>
      </c>
    </row>
    <row r="356" spans="1:7" x14ac:dyDescent="0.45">
      <c r="A356">
        <v>355</v>
      </c>
      <c r="B356" t="s">
        <v>72</v>
      </c>
      <c r="C356" t="s">
        <v>1068</v>
      </c>
      <c r="D356">
        <v>4030</v>
      </c>
      <c r="E356" t="s">
        <v>105</v>
      </c>
      <c r="F356">
        <v>25286.2</v>
      </c>
      <c r="G356" t="s">
        <v>194</v>
      </c>
    </row>
    <row r="357" spans="1:7" x14ac:dyDescent="0.45">
      <c r="A357">
        <v>356</v>
      </c>
      <c r="B357" t="s">
        <v>72</v>
      </c>
      <c r="C357" t="s">
        <v>1068</v>
      </c>
      <c r="D357">
        <v>6010</v>
      </c>
      <c r="E357" t="s">
        <v>119</v>
      </c>
      <c r="F357">
        <v>45515.56</v>
      </c>
      <c r="G357" t="s">
        <v>194</v>
      </c>
    </row>
    <row r="358" spans="1:7" x14ac:dyDescent="0.45">
      <c r="A358">
        <v>357</v>
      </c>
      <c r="B358" t="s">
        <v>72</v>
      </c>
      <c r="C358" t="s">
        <v>1068</v>
      </c>
      <c r="D358">
        <v>6020</v>
      </c>
      <c r="E358" t="s">
        <v>121</v>
      </c>
      <c r="F358">
        <v>6456.48</v>
      </c>
      <c r="G358" t="s">
        <v>194</v>
      </c>
    </row>
    <row r="359" spans="1:7" x14ac:dyDescent="0.45">
      <c r="A359">
        <v>358</v>
      </c>
      <c r="B359" t="s">
        <v>72</v>
      </c>
      <c r="C359" t="s">
        <v>1068</v>
      </c>
      <c r="D359">
        <v>6030</v>
      </c>
      <c r="E359" t="s">
        <v>123</v>
      </c>
      <c r="F359">
        <v>7289.12</v>
      </c>
      <c r="G359" t="s">
        <v>194</v>
      </c>
    </row>
    <row r="360" spans="1:7" x14ac:dyDescent="0.45">
      <c r="A360">
        <v>359</v>
      </c>
      <c r="B360" t="s">
        <v>72</v>
      </c>
      <c r="C360" t="s">
        <v>1068</v>
      </c>
      <c r="D360">
        <v>6040</v>
      </c>
      <c r="E360" t="s">
        <v>125</v>
      </c>
      <c r="F360">
        <v>3465.28</v>
      </c>
      <c r="G360" t="s">
        <v>194</v>
      </c>
    </row>
    <row r="361" spans="1:7" x14ac:dyDescent="0.45">
      <c r="A361">
        <v>360</v>
      </c>
      <c r="B361" t="s">
        <v>72</v>
      </c>
      <c r="C361" t="s">
        <v>1068</v>
      </c>
      <c r="D361">
        <v>6050</v>
      </c>
      <c r="E361" t="s">
        <v>127</v>
      </c>
      <c r="F361">
        <v>1430.84</v>
      </c>
      <c r="G361" t="s">
        <v>194</v>
      </c>
    </row>
    <row r="362" spans="1:7" x14ac:dyDescent="0.45">
      <c r="A362">
        <v>361</v>
      </c>
      <c r="B362" t="s">
        <v>72</v>
      </c>
      <c r="C362" t="s">
        <v>1068</v>
      </c>
      <c r="D362">
        <v>6060</v>
      </c>
      <c r="E362" t="s">
        <v>129</v>
      </c>
      <c r="F362">
        <v>2234.2199999999998</v>
      </c>
      <c r="G362" t="s">
        <v>194</v>
      </c>
    </row>
    <row r="363" spans="1:7" x14ac:dyDescent="0.45">
      <c r="A363">
        <v>362</v>
      </c>
      <c r="B363" t="s">
        <v>72</v>
      </c>
      <c r="C363" t="s">
        <v>1068</v>
      </c>
      <c r="D363">
        <v>7000</v>
      </c>
      <c r="E363" t="s">
        <v>133</v>
      </c>
      <c r="F363">
        <v>1100.68</v>
      </c>
      <c r="G363" t="s">
        <v>194</v>
      </c>
    </row>
    <row r="364" spans="1:7" x14ac:dyDescent="0.45">
      <c r="A364">
        <v>363</v>
      </c>
      <c r="B364" t="s">
        <v>73</v>
      </c>
      <c r="C364" t="s">
        <v>1068</v>
      </c>
      <c r="D364">
        <v>4010</v>
      </c>
      <c r="E364" t="s">
        <v>101</v>
      </c>
      <c r="F364">
        <v>27155.279999999999</v>
      </c>
      <c r="G364" t="s">
        <v>194</v>
      </c>
    </row>
    <row r="365" spans="1:7" x14ac:dyDescent="0.45">
      <c r="A365">
        <v>364</v>
      </c>
      <c r="B365" t="s">
        <v>73</v>
      </c>
      <c r="C365" t="s">
        <v>1068</v>
      </c>
      <c r="D365">
        <v>4020</v>
      </c>
      <c r="E365" t="s">
        <v>103</v>
      </c>
      <c r="F365">
        <v>22406.37</v>
      </c>
      <c r="G365" t="s">
        <v>194</v>
      </c>
    </row>
    <row r="366" spans="1:7" x14ac:dyDescent="0.45">
      <c r="A366">
        <v>365</v>
      </c>
      <c r="B366" t="s">
        <v>73</v>
      </c>
      <c r="C366" t="s">
        <v>1068</v>
      </c>
      <c r="D366">
        <v>4030</v>
      </c>
      <c r="E366" t="s">
        <v>105</v>
      </c>
      <c r="F366">
        <v>16861.650000000001</v>
      </c>
      <c r="G366" t="s">
        <v>194</v>
      </c>
    </row>
    <row r="367" spans="1:7" x14ac:dyDescent="0.45">
      <c r="A367">
        <v>366</v>
      </c>
      <c r="B367" t="s">
        <v>73</v>
      </c>
      <c r="C367" t="s">
        <v>1068</v>
      </c>
      <c r="D367">
        <v>6010</v>
      </c>
      <c r="E367" t="s">
        <v>119</v>
      </c>
      <c r="F367">
        <v>28235.38</v>
      </c>
      <c r="G367" t="s">
        <v>194</v>
      </c>
    </row>
    <row r="368" spans="1:7" x14ac:dyDescent="0.45">
      <c r="A368">
        <v>367</v>
      </c>
      <c r="B368" t="s">
        <v>73</v>
      </c>
      <c r="C368" t="s">
        <v>1068</v>
      </c>
      <c r="D368">
        <v>6020</v>
      </c>
      <c r="E368" t="s">
        <v>121</v>
      </c>
      <c r="F368">
        <v>3947.81</v>
      </c>
      <c r="G368" t="s">
        <v>194</v>
      </c>
    </row>
    <row r="369" spans="1:7" x14ac:dyDescent="0.45">
      <c r="A369">
        <v>368</v>
      </c>
      <c r="B369" t="s">
        <v>73</v>
      </c>
      <c r="C369" t="s">
        <v>1068</v>
      </c>
      <c r="D369">
        <v>6030</v>
      </c>
      <c r="E369" t="s">
        <v>123</v>
      </c>
      <c r="F369">
        <v>4363.2700000000004</v>
      </c>
      <c r="G369" t="s">
        <v>194</v>
      </c>
    </row>
    <row r="370" spans="1:7" x14ac:dyDescent="0.45">
      <c r="A370">
        <v>369</v>
      </c>
      <c r="B370" t="s">
        <v>73</v>
      </c>
      <c r="C370" t="s">
        <v>1068</v>
      </c>
      <c r="D370">
        <v>6040</v>
      </c>
      <c r="E370" t="s">
        <v>125</v>
      </c>
      <c r="F370">
        <v>1904.04</v>
      </c>
      <c r="G370" t="s">
        <v>194</v>
      </c>
    </row>
    <row r="371" spans="1:7" x14ac:dyDescent="0.45">
      <c r="A371">
        <v>370</v>
      </c>
      <c r="B371" t="s">
        <v>73</v>
      </c>
      <c r="C371" t="s">
        <v>1068</v>
      </c>
      <c r="D371">
        <v>6050</v>
      </c>
      <c r="E371" t="s">
        <v>127</v>
      </c>
      <c r="F371">
        <v>898.11</v>
      </c>
      <c r="G371" t="s">
        <v>194</v>
      </c>
    </row>
    <row r="372" spans="1:7" x14ac:dyDescent="0.45">
      <c r="A372">
        <v>371</v>
      </c>
      <c r="B372" t="s">
        <v>73</v>
      </c>
      <c r="C372" t="s">
        <v>1068</v>
      </c>
      <c r="D372">
        <v>6060</v>
      </c>
      <c r="E372" t="s">
        <v>129</v>
      </c>
      <c r="F372">
        <v>1495.76</v>
      </c>
      <c r="G372" t="s">
        <v>194</v>
      </c>
    </row>
    <row r="373" spans="1:7" x14ac:dyDescent="0.45">
      <c r="A373">
        <v>372</v>
      </c>
      <c r="B373" t="s">
        <v>73</v>
      </c>
      <c r="C373" t="s">
        <v>1068</v>
      </c>
      <c r="D373">
        <v>7000</v>
      </c>
      <c r="E373" t="s">
        <v>133</v>
      </c>
      <c r="F373">
        <v>670.35</v>
      </c>
      <c r="G373" t="s">
        <v>194</v>
      </c>
    </row>
    <row r="374" spans="1:7" x14ac:dyDescent="0.45">
      <c r="A374">
        <v>373</v>
      </c>
      <c r="B374" t="s">
        <v>74</v>
      </c>
      <c r="C374" t="s">
        <v>1068</v>
      </c>
      <c r="D374">
        <v>4010</v>
      </c>
      <c r="E374" t="s">
        <v>101</v>
      </c>
      <c r="F374">
        <v>23677.54</v>
      </c>
      <c r="G374" t="s">
        <v>194</v>
      </c>
    </row>
    <row r="375" spans="1:7" x14ac:dyDescent="0.45">
      <c r="A375">
        <v>374</v>
      </c>
      <c r="B375" t="s">
        <v>74</v>
      </c>
      <c r="C375" t="s">
        <v>1068</v>
      </c>
      <c r="D375">
        <v>4020</v>
      </c>
      <c r="E375" t="s">
        <v>103</v>
      </c>
      <c r="F375">
        <v>17788.169999999998</v>
      </c>
      <c r="G375" t="s">
        <v>194</v>
      </c>
    </row>
    <row r="376" spans="1:7" x14ac:dyDescent="0.45">
      <c r="A376">
        <v>375</v>
      </c>
      <c r="B376" t="s">
        <v>74</v>
      </c>
      <c r="C376" t="s">
        <v>1068</v>
      </c>
      <c r="D376">
        <v>4030</v>
      </c>
      <c r="E376" t="s">
        <v>105</v>
      </c>
      <c r="F376">
        <v>14188.29</v>
      </c>
      <c r="G376" t="s">
        <v>194</v>
      </c>
    </row>
    <row r="377" spans="1:7" x14ac:dyDescent="0.45">
      <c r="A377">
        <v>376</v>
      </c>
      <c r="B377" t="s">
        <v>74</v>
      </c>
      <c r="C377" t="s">
        <v>1068</v>
      </c>
      <c r="D377">
        <v>6010</v>
      </c>
      <c r="E377" t="s">
        <v>119</v>
      </c>
      <c r="F377">
        <v>25072.21</v>
      </c>
      <c r="G377" t="s">
        <v>194</v>
      </c>
    </row>
    <row r="378" spans="1:7" x14ac:dyDescent="0.45">
      <c r="A378">
        <v>377</v>
      </c>
      <c r="B378" t="s">
        <v>74</v>
      </c>
      <c r="C378" t="s">
        <v>1068</v>
      </c>
      <c r="D378">
        <v>6020</v>
      </c>
      <c r="E378" t="s">
        <v>121</v>
      </c>
      <c r="F378">
        <v>3583.74</v>
      </c>
      <c r="G378" t="s">
        <v>194</v>
      </c>
    </row>
    <row r="379" spans="1:7" x14ac:dyDescent="0.45">
      <c r="A379">
        <v>378</v>
      </c>
      <c r="B379" t="s">
        <v>74</v>
      </c>
      <c r="C379" t="s">
        <v>1068</v>
      </c>
      <c r="D379">
        <v>6030</v>
      </c>
      <c r="E379" t="s">
        <v>123</v>
      </c>
      <c r="F379">
        <v>3867.66</v>
      </c>
      <c r="G379" t="s">
        <v>194</v>
      </c>
    </row>
    <row r="380" spans="1:7" x14ac:dyDescent="0.45">
      <c r="A380">
        <v>379</v>
      </c>
      <c r="B380" t="s">
        <v>74</v>
      </c>
      <c r="C380" t="s">
        <v>1068</v>
      </c>
      <c r="D380">
        <v>6040</v>
      </c>
      <c r="E380" t="s">
        <v>125</v>
      </c>
      <c r="F380">
        <v>1875.81</v>
      </c>
      <c r="G380" t="s">
        <v>194</v>
      </c>
    </row>
    <row r="381" spans="1:7" x14ac:dyDescent="0.45">
      <c r="A381">
        <v>380</v>
      </c>
      <c r="B381" t="s">
        <v>74</v>
      </c>
      <c r="C381" t="s">
        <v>1068</v>
      </c>
      <c r="D381">
        <v>6050</v>
      </c>
      <c r="E381" t="s">
        <v>127</v>
      </c>
      <c r="F381">
        <v>806.11</v>
      </c>
      <c r="G381" t="s">
        <v>194</v>
      </c>
    </row>
    <row r="382" spans="1:7" x14ac:dyDescent="0.45">
      <c r="A382">
        <v>381</v>
      </c>
      <c r="B382" t="s">
        <v>74</v>
      </c>
      <c r="C382" t="s">
        <v>1068</v>
      </c>
      <c r="D382">
        <v>6060</v>
      </c>
      <c r="E382" t="s">
        <v>129</v>
      </c>
      <c r="F382">
        <v>1231.6099999999999</v>
      </c>
      <c r="G382" t="s">
        <v>194</v>
      </c>
    </row>
    <row r="383" spans="1:7" x14ac:dyDescent="0.45">
      <c r="A383">
        <v>382</v>
      </c>
      <c r="B383" t="s">
        <v>74</v>
      </c>
      <c r="C383" t="s">
        <v>1068</v>
      </c>
      <c r="D383">
        <v>7000</v>
      </c>
      <c r="E383" t="s">
        <v>133</v>
      </c>
      <c r="F383">
        <v>603.19000000000005</v>
      </c>
      <c r="G383" t="s">
        <v>194</v>
      </c>
    </row>
    <row r="384" spans="1:7" x14ac:dyDescent="0.45">
      <c r="A384">
        <v>383</v>
      </c>
      <c r="B384" t="s">
        <v>73</v>
      </c>
      <c r="C384" t="s">
        <v>1068</v>
      </c>
      <c r="D384">
        <v>6070</v>
      </c>
      <c r="E384" t="s">
        <v>131</v>
      </c>
      <c r="F384">
        <v>3578.64</v>
      </c>
      <c r="G384" t="s">
        <v>194</v>
      </c>
    </row>
    <row r="385" spans="1:7" x14ac:dyDescent="0.45">
      <c r="A385">
        <v>384</v>
      </c>
      <c r="B385" t="s">
        <v>74</v>
      </c>
      <c r="C385" t="s">
        <v>1068</v>
      </c>
      <c r="D385">
        <v>6070</v>
      </c>
      <c r="E385" t="s">
        <v>131</v>
      </c>
      <c r="F385">
        <v>3174.6</v>
      </c>
      <c r="G385" t="s">
        <v>194</v>
      </c>
    </row>
    <row r="386" spans="1:7" x14ac:dyDescent="0.45">
      <c r="A386">
        <v>385</v>
      </c>
      <c r="B386" t="s">
        <v>72</v>
      </c>
      <c r="C386" t="s">
        <v>786</v>
      </c>
      <c r="D386">
        <v>4010</v>
      </c>
      <c r="E386" t="s">
        <v>101</v>
      </c>
      <c r="F386">
        <v>42564.639999999999</v>
      </c>
      <c r="G386" t="s">
        <v>195</v>
      </c>
    </row>
    <row r="387" spans="1:7" x14ac:dyDescent="0.45">
      <c r="A387">
        <v>386</v>
      </c>
      <c r="B387" t="s">
        <v>72</v>
      </c>
      <c r="C387" t="s">
        <v>786</v>
      </c>
      <c r="D387">
        <v>4020</v>
      </c>
      <c r="E387" t="s">
        <v>103</v>
      </c>
      <c r="F387">
        <v>32009.1</v>
      </c>
      <c r="G387" t="s">
        <v>195</v>
      </c>
    </row>
    <row r="388" spans="1:7" x14ac:dyDescent="0.45">
      <c r="A388">
        <v>387</v>
      </c>
      <c r="B388" t="s">
        <v>72</v>
      </c>
      <c r="C388" t="s">
        <v>786</v>
      </c>
      <c r="D388">
        <v>4030</v>
      </c>
      <c r="E388" t="s">
        <v>105</v>
      </c>
      <c r="F388">
        <v>23094.05</v>
      </c>
      <c r="G388" t="s">
        <v>195</v>
      </c>
    </row>
    <row r="389" spans="1:7" x14ac:dyDescent="0.45">
      <c r="A389">
        <v>388</v>
      </c>
      <c r="B389" t="s">
        <v>72</v>
      </c>
      <c r="C389" t="s">
        <v>786</v>
      </c>
      <c r="D389">
        <v>6010</v>
      </c>
      <c r="E389" t="s">
        <v>119</v>
      </c>
      <c r="F389">
        <v>47486.400000000001</v>
      </c>
      <c r="G389" t="s">
        <v>195</v>
      </c>
    </row>
    <row r="390" spans="1:7" x14ac:dyDescent="0.45">
      <c r="A390">
        <v>389</v>
      </c>
      <c r="B390" t="s">
        <v>72</v>
      </c>
      <c r="C390" t="s">
        <v>786</v>
      </c>
      <c r="D390">
        <v>6020</v>
      </c>
      <c r="E390" t="s">
        <v>121</v>
      </c>
      <c r="F390">
        <v>6519.43</v>
      </c>
      <c r="G390" t="s">
        <v>195</v>
      </c>
    </row>
    <row r="391" spans="1:7" x14ac:dyDescent="0.45">
      <c r="A391">
        <v>390</v>
      </c>
      <c r="B391" t="s">
        <v>72</v>
      </c>
      <c r="C391" t="s">
        <v>786</v>
      </c>
      <c r="D391">
        <v>6030</v>
      </c>
      <c r="E391" t="s">
        <v>123</v>
      </c>
      <c r="F391">
        <v>7294.9</v>
      </c>
      <c r="G391" t="s">
        <v>195</v>
      </c>
    </row>
    <row r="392" spans="1:7" x14ac:dyDescent="0.45">
      <c r="A392">
        <v>391</v>
      </c>
      <c r="B392" t="s">
        <v>72</v>
      </c>
      <c r="C392" t="s">
        <v>786</v>
      </c>
      <c r="D392">
        <v>6040</v>
      </c>
      <c r="E392" t="s">
        <v>125</v>
      </c>
      <c r="F392">
        <v>3154.83</v>
      </c>
      <c r="G392" t="s">
        <v>195</v>
      </c>
    </row>
    <row r="393" spans="1:7" x14ac:dyDescent="0.45">
      <c r="A393">
        <v>392</v>
      </c>
      <c r="B393" t="s">
        <v>72</v>
      </c>
      <c r="C393" t="s">
        <v>786</v>
      </c>
      <c r="D393">
        <v>6050</v>
      </c>
      <c r="E393" t="s">
        <v>127</v>
      </c>
      <c r="F393">
        <v>1478.3</v>
      </c>
      <c r="G393" t="s">
        <v>195</v>
      </c>
    </row>
    <row r="394" spans="1:7" x14ac:dyDescent="0.45">
      <c r="A394">
        <v>393</v>
      </c>
      <c r="B394" t="s">
        <v>72</v>
      </c>
      <c r="C394" t="s">
        <v>786</v>
      </c>
      <c r="D394">
        <v>6060</v>
      </c>
      <c r="E394" t="s">
        <v>129</v>
      </c>
      <c r="F394">
        <v>2374.4499999999998</v>
      </c>
      <c r="G394" t="s">
        <v>195</v>
      </c>
    </row>
    <row r="395" spans="1:7" x14ac:dyDescent="0.45">
      <c r="A395">
        <v>394</v>
      </c>
      <c r="B395" t="s">
        <v>72</v>
      </c>
      <c r="C395" t="s">
        <v>786</v>
      </c>
      <c r="D395">
        <v>7000</v>
      </c>
      <c r="E395" t="s">
        <v>133</v>
      </c>
      <c r="F395">
        <v>1119.8</v>
      </c>
      <c r="G395" t="s">
        <v>195</v>
      </c>
    </row>
    <row r="396" spans="1:7" x14ac:dyDescent="0.45">
      <c r="A396">
        <v>395</v>
      </c>
      <c r="B396" t="s">
        <v>73</v>
      </c>
      <c r="C396" t="s">
        <v>786</v>
      </c>
      <c r="D396">
        <v>4010</v>
      </c>
      <c r="E396" t="s">
        <v>101</v>
      </c>
      <c r="F396">
        <v>29778.33</v>
      </c>
      <c r="G396" t="s">
        <v>195</v>
      </c>
    </row>
    <row r="397" spans="1:7" x14ac:dyDescent="0.45">
      <c r="A397">
        <v>396</v>
      </c>
      <c r="B397" t="s">
        <v>73</v>
      </c>
      <c r="C397" t="s">
        <v>786</v>
      </c>
      <c r="D397">
        <v>4020</v>
      </c>
      <c r="E397" t="s">
        <v>103</v>
      </c>
      <c r="F397">
        <v>23648.92</v>
      </c>
      <c r="G397" t="s">
        <v>195</v>
      </c>
    </row>
    <row r="398" spans="1:7" x14ac:dyDescent="0.45">
      <c r="A398">
        <v>397</v>
      </c>
      <c r="B398" t="s">
        <v>73</v>
      </c>
      <c r="C398" t="s">
        <v>786</v>
      </c>
      <c r="D398">
        <v>4030</v>
      </c>
      <c r="E398" t="s">
        <v>105</v>
      </c>
      <c r="F398">
        <v>17532.3</v>
      </c>
      <c r="G398" t="s">
        <v>195</v>
      </c>
    </row>
    <row r="399" spans="1:7" x14ac:dyDescent="0.45">
      <c r="A399">
        <v>398</v>
      </c>
      <c r="B399" t="s">
        <v>73</v>
      </c>
      <c r="C399" t="s">
        <v>786</v>
      </c>
      <c r="D399">
        <v>6010</v>
      </c>
      <c r="E399" t="s">
        <v>119</v>
      </c>
      <c r="F399">
        <v>29004.68</v>
      </c>
      <c r="G399" t="s">
        <v>195</v>
      </c>
    </row>
    <row r="400" spans="1:7" x14ac:dyDescent="0.45">
      <c r="A400">
        <v>399</v>
      </c>
      <c r="B400" t="s">
        <v>73</v>
      </c>
      <c r="C400" t="s">
        <v>786</v>
      </c>
      <c r="D400">
        <v>6020</v>
      </c>
      <c r="E400" t="s">
        <v>121</v>
      </c>
      <c r="F400">
        <v>4131.7700000000004</v>
      </c>
      <c r="G400" t="s">
        <v>195</v>
      </c>
    </row>
    <row r="401" spans="1:7" x14ac:dyDescent="0.45">
      <c r="A401">
        <v>400</v>
      </c>
      <c r="B401" t="s">
        <v>73</v>
      </c>
      <c r="C401" t="s">
        <v>786</v>
      </c>
      <c r="D401">
        <v>6030</v>
      </c>
      <c r="E401" t="s">
        <v>123</v>
      </c>
      <c r="F401">
        <v>4512.5200000000004</v>
      </c>
      <c r="G401" t="s">
        <v>195</v>
      </c>
    </row>
    <row r="402" spans="1:7" x14ac:dyDescent="0.45">
      <c r="A402">
        <v>401</v>
      </c>
      <c r="B402" t="s">
        <v>73</v>
      </c>
      <c r="C402" t="s">
        <v>786</v>
      </c>
      <c r="D402">
        <v>6040</v>
      </c>
      <c r="E402" t="s">
        <v>125</v>
      </c>
      <c r="F402">
        <v>2158.17</v>
      </c>
      <c r="G402" t="s">
        <v>195</v>
      </c>
    </row>
    <row r="403" spans="1:7" x14ac:dyDescent="0.45">
      <c r="A403">
        <v>402</v>
      </c>
      <c r="B403" t="s">
        <v>73</v>
      </c>
      <c r="C403" t="s">
        <v>786</v>
      </c>
      <c r="D403">
        <v>6050</v>
      </c>
      <c r="E403" t="s">
        <v>127</v>
      </c>
      <c r="F403">
        <v>890.34</v>
      </c>
      <c r="G403" t="s">
        <v>195</v>
      </c>
    </row>
    <row r="404" spans="1:7" x14ac:dyDescent="0.45">
      <c r="A404">
        <v>403</v>
      </c>
      <c r="B404" t="s">
        <v>73</v>
      </c>
      <c r="C404" t="s">
        <v>786</v>
      </c>
      <c r="D404">
        <v>6060</v>
      </c>
      <c r="E404" t="s">
        <v>129</v>
      </c>
      <c r="F404">
        <v>1421.38</v>
      </c>
      <c r="G404" t="s">
        <v>195</v>
      </c>
    </row>
    <row r="405" spans="1:7" x14ac:dyDescent="0.45">
      <c r="A405">
        <v>404</v>
      </c>
      <c r="B405" t="s">
        <v>73</v>
      </c>
      <c r="C405" t="s">
        <v>786</v>
      </c>
      <c r="D405">
        <v>7000</v>
      </c>
      <c r="E405" t="s">
        <v>133</v>
      </c>
      <c r="F405">
        <v>685.76</v>
      </c>
      <c r="G405" t="s">
        <v>195</v>
      </c>
    </row>
    <row r="406" spans="1:7" x14ac:dyDescent="0.45">
      <c r="A406">
        <v>405</v>
      </c>
      <c r="B406" t="s">
        <v>74</v>
      </c>
      <c r="C406" t="s">
        <v>786</v>
      </c>
      <c r="D406">
        <v>4010</v>
      </c>
      <c r="E406" t="s">
        <v>101</v>
      </c>
      <c r="F406">
        <v>25512.959999999999</v>
      </c>
      <c r="G406" t="s">
        <v>195</v>
      </c>
    </row>
    <row r="407" spans="1:7" x14ac:dyDescent="0.45">
      <c r="A407">
        <v>406</v>
      </c>
      <c r="B407" t="s">
        <v>74</v>
      </c>
      <c r="C407" t="s">
        <v>786</v>
      </c>
      <c r="D407">
        <v>4020</v>
      </c>
      <c r="E407" t="s">
        <v>103</v>
      </c>
      <c r="F407">
        <v>20261.12</v>
      </c>
      <c r="G407" t="s">
        <v>195</v>
      </c>
    </row>
    <row r="408" spans="1:7" x14ac:dyDescent="0.45">
      <c r="A408">
        <v>407</v>
      </c>
      <c r="B408" t="s">
        <v>74</v>
      </c>
      <c r="C408" t="s">
        <v>786</v>
      </c>
      <c r="D408">
        <v>4030</v>
      </c>
      <c r="E408" t="s">
        <v>105</v>
      </c>
      <c r="F408">
        <v>14804.82</v>
      </c>
      <c r="G408" t="s">
        <v>195</v>
      </c>
    </row>
    <row r="409" spans="1:7" x14ac:dyDescent="0.45">
      <c r="A409">
        <v>408</v>
      </c>
      <c r="B409" t="s">
        <v>74</v>
      </c>
      <c r="C409" t="s">
        <v>786</v>
      </c>
      <c r="D409">
        <v>6010</v>
      </c>
      <c r="E409" t="s">
        <v>119</v>
      </c>
      <c r="F409">
        <v>25391.83</v>
      </c>
      <c r="G409" t="s">
        <v>195</v>
      </c>
    </row>
    <row r="410" spans="1:7" x14ac:dyDescent="0.45">
      <c r="A410">
        <v>409</v>
      </c>
      <c r="B410" t="s">
        <v>74</v>
      </c>
      <c r="C410" t="s">
        <v>786</v>
      </c>
      <c r="D410">
        <v>6020</v>
      </c>
      <c r="E410" t="s">
        <v>121</v>
      </c>
      <c r="F410">
        <v>3552.33</v>
      </c>
      <c r="G410" t="s">
        <v>195</v>
      </c>
    </row>
    <row r="411" spans="1:7" x14ac:dyDescent="0.45">
      <c r="A411">
        <v>410</v>
      </c>
      <c r="B411" t="s">
        <v>74</v>
      </c>
      <c r="C411" t="s">
        <v>786</v>
      </c>
      <c r="D411">
        <v>6030</v>
      </c>
      <c r="E411" t="s">
        <v>123</v>
      </c>
      <c r="F411">
        <v>3935.81</v>
      </c>
      <c r="G411" t="s">
        <v>195</v>
      </c>
    </row>
    <row r="412" spans="1:7" x14ac:dyDescent="0.45">
      <c r="A412">
        <v>411</v>
      </c>
      <c r="B412" t="s">
        <v>74</v>
      </c>
      <c r="C412" t="s">
        <v>786</v>
      </c>
      <c r="D412">
        <v>6040</v>
      </c>
      <c r="E412" t="s">
        <v>125</v>
      </c>
      <c r="F412">
        <v>1903.17</v>
      </c>
      <c r="G412" t="s">
        <v>195</v>
      </c>
    </row>
    <row r="413" spans="1:7" x14ac:dyDescent="0.45">
      <c r="A413">
        <v>412</v>
      </c>
      <c r="B413" t="s">
        <v>74</v>
      </c>
      <c r="C413" t="s">
        <v>786</v>
      </c>
      <c r="D413">
        <v>6050</v>
      </c>
      <c r="E413" t="s">
        <v>127</v>
      </c>
      <c r="F413">
        <v>785.96</v>
      </c>
      <c r="G413" t="s">
        <v>195</v>
      </c>
    </row>
    <row r="414" spans="1:7" x14ac:dyDescent="0.45">
      <c r="A414">
        <v>413</v>
      </c>
      <c r="B414" t="s">
        <v>74</v>
      </c>
      <c r="C414" t="s">
        <v>786</v>
      </c>
      <c r="D414">
        <v>6060</v>
      </c>
      <c r="E414" t="s">
        <v>129</v>
      </c>
      <c r="F414">
        <v>1258.8399999999999</v>
      </c>
      <c r="G414" t="s">
        <v>195</v>
      </c>
    </row>
    <row r="415" spans="1:7" x14ac:dyDescent="0.45">
      <c r="A415">
        <v>414</v>
      </c>
      <c r="B415" t="s">
        <v>74</v>
      </c>
      <c r="C415" t="s">
        <v>786</v>
      </c>
      <c r="D415">
        <v>7000</v>
      </c>
      <c r="E415" t="s">
        <v>133</v>
      </c>
      <c r="F415">
        <v>609.69000000000005</v>
      </c>
      <c r="G415" t="s">
        <v>195</v>
      </c>
    </row>
    <row r="416" spans="1:7" x14ac:dyDescent="0.45">
      <c r="A416">
        <v>415</v>
      </c>
      <c r="B416" t="s">
        <v>73</v>
      </c>
      <c r="C416" t="s">
        <v>786</v>
      </c>
      <c r="D416">
        <v>6070</v>
      </c>
      <c r="E416" t="s">
        <v>131</v>
      </c>
      <c r="F416">
        <v>3610.88</v>
      </c>
      <c r="G416" t="s">
        <v>195</v>
      </c>
    </row>
    <row r="417" spans="1:7" x14ac:dyDescent="0.45">
      <c r="A417">
        <v>416</v>
      </c>
      <c r="B417" t="s">
        <v>74</v>
      </c>
      <c r="C417" t="s">
        <v>786</v>
      </c>
      <c r="D417">
        <v>6070</v>
      </c>
      <c r="E417" t="s">
        <v>131</v>
      </c>
      <c r="F417">
        <v>3203.2</v>
      </c>
      <c r="G417" t="s">
        <v>195</v>
      </c>
    </row>
    <row r="418" spans="1:7" x14ac:dyDescent="0.45">
      <c r="A418">
        <v>417</v>
      </c>
      <c r="B418" t="s">
        <v>72</v>
      </c>
      <c r="C418" t="s">
        <v>1069</v>
      </c>
      <c r="D418">
        <v>4010</v>
      </c>
      <c r="E418" t="s">
        <v>101</v>
      </c>
      <c r="F418">
        <v>44145.77</v>
      </c>
      <c r="G418" t="s">
        <v>196</v>
      </c>
    </row>
    <row r="419" spans="1:7" x14ac:dyDescent="0.45">
      <c r="A419">
        <v>418</v>
      </c>
      <c r="B419" t="s">
        <v>72</v>
      </c>
      <c r="C419" t="s">
        <v>1069</v>
      </c>
      <c r="D419">
        <v>4020</v>
      </c>
      <c r="E419" t="s">
        <v>103</v>
      </c>
      <c r="F419">
        <v>35957.839999999997</v>
      </c>
      <c r="G419" t="s">
        <v>196</v>
      </c>
    </row>
    <row r="420" spans="1:7" x14ac:dyDescent="0.45">
      <c r="A420">
        <v>419</v>
      </c>
      <c r="B420" t="s">
        <v>72</v>
      </c>
      <c r="C420" t="s">
        <v>1069</v>
      </c>
      <c r="D420">
        <v>4030</v>
      </c>
      <c r="E420" t="s">
        <v>105</v>
      </c>
      <c r="F420">
        <v>27619.65</v>
      </c>
      <c r="G420" t="s">
        <v>196</v>
      </c>
    </row>
    <row r="421" spans="1:7" x14ac:dyDescent="0.45">
      <c r="A421">
        <v>420</v>
      </c>
      <c r="B421" t="s">
        <v>72</v>
      </c>
      <c r="C421" t="s">
        <v>1069</v>
      </c>
      <c r="D421">
        <v>6010</v>
      </c>
      <c r="E421" t="s">
        <v>119</v>
      </c>
      <c r="F421">
        <v>46464.28</v>
      </c>
      <c r="G421" t="s">
        <v>196</v>
      </c>
    </row>
    <row r="422" spans="1:7" x14ac:dyDescent="0.45">
      <c r="A422">
        <v>421</v>
      </c>
      <c r="B422" t="s">
        <v>72</v>
      </c>
      <c r="C422" t="s">
        <v>1069</v>
      </c>
      <c r="D422">
        <v>6020</v>
      </c>
      <c r="E422" t="s">
        <v>121</v>
      </c>
      <c r="F422">
        <v>6575.77</v>
      </c>
      <c r="G422" t="s">
        <v>196</v>
      </c>
    </row>
    <row r="423" spans="1:7" x14ac:dyDescent="0.45">
      <c r="A423">
        <v>422</v>
      </c>
      <c r="B423" t="s">
        <v>72</v>
      </c>
      <c r="C423" t="s">
        <v>1069</v>
      </c>
      <c r="D423">
        <v>6030</v>
      </c>
      <c r="E423" t="s">
        <v>123</v>
      </c>
      <c r="F423">
        <v>7359.27</v>
      </c>
      <c r="G423" t="s">
        <v>196</v>
      </c>
    </row>
    <row r="424" spans="1:7" x14ac:dyDescent="0.45">
      <c r="A424">
        <v>423</v>
      </c>
      <c r="B424" t="s">
        <v>72</v>
      </c>
      <c r="C424" t="s">
        <v>1069</v>
      </c>
      <c r="D424">
        <v>6040</v>
      </c>
      <c r="E424" t="s">
        <v>125</v>
      </c>
      <c r="F424">
        <v>3462.51</v>
      </c>
      <c r="G424" t="s">
        <v>196</v>
      </c>
    </row>
    <row r="425" spans="1:7" x14ac:dyDescent="0.45">
      <c r="A425">
        <v>424</v>
      </c>
      <c r="B425" t="s">
        <v>72</v>
      </c>
      <c r="C425" t="s">
        <v>1069</v>
      </c>
      <c r="D425">
        <v>6050</v>
      </c>
      <c r="E425" t="s">
        <v>127</v>
      </c>
      <c r="F425">
        <v>1461.34</v>
      </c>
      <c r="G425" t="s">
        <v>196</v>
      </c>
    </row>
    <row r="426" spans="1:7" x14ac:dyDescent="0.45">
      <c r="A426">
        <v>425</v>
      </c>
      <c r="B426" t="s">
        <v>72</v>
      </c>
      <c r="C426" t="s">
        <v>1069</v>
      </c>
      <c r="D426">
        <v>6060</v>
      </c>
      <c r="E426" t="s">
        <v>129</v>
      </c>
      <c r="F426">
        <v>2457.65</v>
      </c>
      <c r="G426" t="s">
        <v>196</v>
      </c>
    </row>
    <row r="427" spans="1:7" x14ac:dyDescent="0.45">
      <c r="A427">
        <v>426</v>
      </c>
      <c r="B427" t="s">
        <v>72</v>
      </c>
      <c r="C427" t="s">
        <v>1069</v>
      </c>
      <c r="D427">
        <v>7000</v>
      </c>
      <c r="E427" t="s">
        <v>133</v>
      </c>
      <c r="F427">
        <v>1111.69</v>
      </c>
      <c r="G427" t="s">
        <v>196</v>
      </c>
    </row>
    <row r="428" spans="1:7" x14ac:dyDescent="0.45">
      <c r="A428">
        <v>427</v>
      </c>
      <c r="B428" t="s">
        <v>73</v>
      </c>
      <c r="C428" t="s">
        <v>1069</v>
      </c>
      <c r="D428">
        <v>4010</v>
      </c>
      <c r="E428" t="s">
        <v>101</v>
      </c>
      <c r="F428">
        <v>25351.31</v>
      </c>
      <c r="G428" t="s">
        <v>196</v>
      </c>
    </row>
    <row r="429" spans="1:7" x14ac:dyDescent="0.45">
      <c r="A429">
        <v>428</v>
      </c>
      <c r="B429" t="s">
        <v>73</v>
      </c>
      <c r="C429" t="s">
        <v>1069</v>
      </c>
      <c r="D429">
        <v>4020</v>
      </c>
      <c r="E429" t="s">
        <v>103</v>
      </c>
      <c r="F429">
        <v>20659.189999999999</v>
      </c>
      <c r="G429" t="s">
        <v>196</v>
      </c>
    </row>
    <row r="430" spans="1:7" x14ac:dyDescent="0.45">
      <c r="A430">
        <v>429</v>
      </c>
      <c r="B430" t="s">
        <v>73</v>
      </c>
      <c r="C430" t="s">
        <v>1069</v>
      </c>
      <c r="D430">
        <v>4030</v>
      </c>
      <c r="E430" t="s">
        <v>105</v>
      </c>
      <c r="F430">
        <v>16302.3</v>
      </c>
      <c r="G430" t="s">
        <v>196</v>
      </c>
    </row>
    <row r="431" spans="1:7" x14ac:dyDescent="0.45">
      <c r="A431">
        <v>430</v>
      </c>
      <c r="B431" t="s">
        <v>73</v>
      </c>
      <c r="C431" t="s">
        <v>1069</v>
      </c>
      <c r="D431">
        <v>6010</v>
      </c>
      <c r="E431" t="s">
        <v>119</v>
      </c>
      <c r="F431">
        <v>29904.81</v>
      </c>
      <c r="G431" t="s">
        <v>196</v>
      </c>
    </row>
    <row r="432" spans="1:7" x14ac:dyDescent="0.45">
      <c r="A432">
        <v>431</v>
      </c>
      <c r="B432" t="s">
        <v>73</v>
      </c>
      <c r="C432" t="s">
        <v>1069</v>
      </c>
      <c r="D432">
        <v>6020</v>
      </c>
      <c r="E432" t="s">
        <v>121</v>
      </c>
      <c r="F432">
        <v>4076.74</v>
      </c>
      <c r="G432" t="s">
        <v>196</v>
      </c>
    </row>
    <row r="433" spans="1:7" x14ac:dyDescent="0.45">
      <c r="A433">
        <v>432</v>
      </c>
      <c r="B433" t="s">
        <v>73</v>
      </c>
      <c r="C433" t="s">
        <v>1069</v>
      </c>
      <c r="D433">
        <v>6030</v>
      </c>
      <c r="E433" t="s">
        <v>123</v>
      </c>
      <c r="F433">
        <v>4534.49</v>
      </c>
      <c r="G433" t="s">
        <v>196</v>
      </c>
    </row>
    <row r="434" spans="1:7" x14ac:dyDescent="0.45">
      <c r="A434">
        <v>433</v>
      </c>
      <c r="B434" t="s">
        <v>73</v>
      </c>
      <c r="C434" t="s">
        <v>1069</v>
      </c>
      <c r="D434">
        <v>6040</v>
      </c>
      <c r="E434" t="s">
        <v>125</v>
      </c>
      <c r="F434">
        <v>1978.64</v>
      </c>
      <c r="G434" t="s">
        <v>196</v>
      </c>
    </row>
    <row r="435" spans="1:7" x14ac:dyDescent="0.45">
      <c r="A435">
        <v>434</v>
      </c>
      <c r="B435" t="s">
        <v>73</v>
      </c>
      <c r="C435" t="s">
        <v>1069</v>
      </c>
      <c r="D435">
        <v>6050</v>
      </c>
      <c r="E435" t="s">
        <v>127</v>
      </c>
      <c r="F435">
        <v>902.71</v>
      </c>
      <c r="G435" t="s">
        <v>196</v>
      </c>
    </row>
    <row r="436" spans="1:7" x14ac:dyDescent="0.45">
      <c r="A436">
        <v>435</v>
      </c>
      <c r="B436" t="s">
        <v>73</v>
      </c>
      <c r="C436" t="s">
        <v>1069</v>
      </c>
      <c r="D436">
        <v>6060</v>
      </c>
      <c r="E436" t="s">
        <v>129</v>
      </c>
      <c r="F436">
        <v>1430.14</v>
      </c>
      <c r="G436" t="s">
        <v>196</v>
      </c>
    </row>
    <row r="437" spans="1:7" x14ac:dyDescent="0.45">
      <c r="A437">
        <v>436</v>
      </c>
      <c r="B437" t="s">
        <v>73</v>
      </c>
      <c r="C437" t="s">
        <v>1069</v>
      </c>
      <c r="D437">
        <v>7000</v>
      </c>
      <c r="E437" t="s">
        <v>133</v>
      </c>
      <c r="F437">
        <v>674.35</v>
      </c>
      <c r="G437" t="s">
        <v>196</v>
      </c>
    </row>
    <row r="438" spans="1:7" x14ac:dyDescent="0.45">
      <c r="A438">
        <v>437</v>
      </c>
      <c r="B438" t="s">
        <v>74</v>
      </c>
      <c r="C438" t="s">
        <v>1069</v>
      </c>
      <c r="D438">
        <v>4010</v>
      </c>
      <c r="E438" t="s">
        <v>101</v>
      </c>
      <c r="F438">
        <v>22824.57</v>
      </c>
      <c r="G438" t="s">
        <v>196</v>
      </c>
    </row>
    <row r="439" spans="1:7" x14ac:dyDescent="0.45">
      <c r="A439">
        <v>438</v>
      </c>
      <c r="B439" t="s">
        <v>74</v>
      </c>
      <c r="C439" t="s">
        <v>1069</v>
      </c>
      <c r="D439">
        <v>4020</v>
      </c>
      <c r="E439" t="s">
        <v>103</v>
      </c>
      <c r="F439">
        <v>18523.96</v>
      </c>
      <c r="G439" t="s">
        <v>196</v>
      </c>
    </row>
    <row r="440" spans="1:7" x14ac:dyDescent="0.45">
      <c r="A440">
        <v>439</v>
      </c>
      <c r="B440" t="s">
        <v>74</v>
      </c>
      <c r="C440" t="s">
        <v>1069</v>
      </c>
      <c r="D440">
        <v>4030</v>
      </c>
      <c r="E440" t="s">
        <v>105</v>
      </c>
      <c r="F440">
        <v>14532.83</v>
      </c>
      <c r="G440" t="s">
        <v>196</v>
      </c>
    </row>
    <row r="441" spans="1:7" x14ac:dyDescent="0.45">
      <c r="A441">
        <v>440</v>
      </c>
      <c r="B441" t="s">
        <v>74</v>
      </c>
      <c r="C441" t="s">
        <v>1069</v>
      </c>
      <c r="D441">
        <v>6010</v>
      </c>
      <c r="E441" t="s">
        <v>119</v>
      </c>
      <c r="F441">
        <v>25500.880000000001</v>
      </c>
      <c r="G441" t="s">
        <v>196</v>
      </c>
    </row>
    <row r="442" spans="1:7" x14ac:dyDescent="0.45">
      <c r="A442">
        <v>441</v>
      </c>
      <c r="B442" t="s">
        <v>74</v>
      </c>
      <c r="C442" t="s">
        <v>1069</v>
      </c>
      <c r="D442">
        <v>6020</v>
      </c>
      <c r="E442" t="s">
        <v>121</v>
      </c>
      <c r="F442">
        <v>3625.29</v>
      </c>
      <c r="G442" t="s">
        <v>196</v>
      </c>
    </row>
    <row r="443" spans="1:7" x14ac:dyDescent="0.45">
      <c r="A443">
        <v>442</v>
      </c>
      <c r="B443" t="s">
        <v>74</v>
      </c>
      <c r="C443" t="s">
        <v>1069</v>
      </c>
      <c r="D443">
        <v>6030</v>
      </c>
      <c r="E443" t="s">
        <v>123</v>
      </c>
      <c r="F443">
        <v>3923.77</v>
      </c>
      <c r="G443" t="s">
        <v>196</v>
      </c>
    </row>
    <row r="444" spans="1:7" x14ac:dyDescent="0.45">
      <c r="A444">
        <v>443</v>
      </c>
      <c r="B444" t="s">
        <v>74</v>
      </c>
      <c r="C444" t="s">
        <v>1069</v>
      </c>
      <c r="D444">
        <v>6040</v>
      </c>
      <c r="E444" t="s">
        <v>125</v>
      </c>
      <c r="F444">
        <v>1817.05</v>
      </c>
      <c r="G444" t="s">
        <v>196</v>
      </c>
    </row>
    <row r="445" spans="1:7" x14ac:dyDescent="0.45">
      <c r="A445">
        <v>444</v>
      </c>
      <c r="B445" t="s">
        <v>74</v>
      </c>
      <c r="C445" t="s">
        <v>1069</v>
      </c>
      <c r="D445">
        <v>6050</v>
      </c>
      <c r="E445" t="s">
        <v>127</v>
      </c>
      <c r="F445">
        <v>782.41</v>
      </c>
      <c r="G445" t="s">
        <v>196</v>
      </c>
    </row>
    <row r="446" spans="1:7" x14ac:dyDescent="0.45">
      <c r="A446">
        <v>445</v>
      </c>
      <c r="B446" t="s">
        <v>74</v>
      </c>
      <c r="C446" t="s">
        <v>1069</v>
      </c>
      <c r="D446">
        <v>6060</v>
      </c>
      <c r="E446" t="s">
        <v>129</v>
      </c>
      <c r="F446">
        <v>1291.32</v>
      </c>
      <c r="G446" t="s">
        <v>196</v>
      </c>
    </row>
    <row r="447" spans="1:7" x14ac:dyDescent="0.45">
      <c r="A447">
        <v>446</v>
      </c>
      <c r="B447" t="s">
        <v>74</v>
      </c>
      <c r="C447" t="s">
        <v>1069</v>
      </c>
      <c r="D447">
        <v>7000</v>
      </c>
      <c r="E447" t="s">
        <v>133</v>
      </c>
      <c r="F447">
        <v>606.55999999999995</v>
      </c>
      <c r="G447" t="s">
        <v>196</v>
      </c>
    </row>
    <row r="448" spans="1:7" x14ac:dyDescent="0.45">
      <c r="A448">
        <v>447</v>
      </c>
      <c r="B448" t="s">
        <v>73</v>
      </c>
      <c r="C448" t="s">
        <v>1069</v>
      </c>
      <c r="D448">
        <v>6070</v>
      </c>
      <c r="E448" t="s">
        <v>131</v>
      </c>
      <c r="F448">
        <v>3643.12</v>
      </c>
      <c r="G448" t="s">
        <v>196</v>
      </c>
    </row>
    <row r="449" spans="1:7" x14ac:dyDescent="0.45">
      <c r="A449">
        <v>448</v>
      </c>
      <c r="B449" t="s">
        <v>74</v>
      </c>
      <c r="C449" t="s">
        <v>1069</v>
      </c>
      <c r="D449">
        <v>6070</v>
      </c>
      <c r="E449" t="s">
        <v>131</v>
      </c>
      <c r="F449">
        <v>3231.8</v>
      </c>
      <c r="G449" t="s">
        <v>196</v>
      </c>
    </row>
    <row r="450" spans="1:7" x14ac:dyDescent="0.45">
      <c r="A450">
        <v>449</v>
      </c>
      <c r="B450" t="s">
        <v>72</v>
      </c>
      <c r="C450" t="s">
        <v>1070</v>
      </c>
      <c r="D450">
        <v>4010</v>
      </c>
      <c r="E450" t="s">
        <v>101</v>
      </c>
      <c r="F450">
        <v>40653.379999999997</v>
      </c>
      <c r="G450" t="s">
        <v>197</v>
      </c>
    </row>
    <row r="451" spans="1:7" x14ac:dyDescent="0.45">
      <c r="A451">
        <v>450</v>
      </c>
      <c r="B451" t="s">
        <v>72</v>
      </c>
      <c r="C451" t="s">
        <v>1070</v>
      </c>
      <c r="D451">
        <v>4020</v>
      </c>
      <c r="E451" t="s">
        <v>103</v>
      </c>
      <c r="F451">
        <v>30313</v>
      </c>
      <c r="G451" t="s">
        <v>197</v>
      </c>
    </row>
    <row r="452" spans="1:7" x14ac:dyDescent="0.45">
      <c r="A452">
        <v>451</v>
      </c>
      <c r="B452" t="s">
        <v>72</v>
      </c>
      <c r="C452" t="s">
        <v>1070</v>
      </c>
      <c r="D452">
        <v>4030</v>
      </c>
      <c r="E452" t="s">
        <v>105</v>
      </c>
      <c r="F452">
        <v>23757.81</v>
      </c>
      <c r="G452" t="s">
        <v>197</v>
      </c>
    </row>
    <row r="453" spans="1:7" x14ac:dyDescent="0.45">
      <c r="A453">
        <v>452</v>
      </c>
      <c r="B453" t="s">
        <v>72</v>
      </c>
      <c r="C453" t="s">
        <v>1070</v>
      </c>
      <c r="D453">
        <v>6010</v>
      </c>
      <c r="E453" t="s">
        <v>119</v>
      </c>
      <c r="F453">
        <v>47359.09</v>
      </c>
      <c r="G453" t="s">
        <v>197</v>
      </c>
    </row>
    <row r="454" spans="1:7" x14ac:dyDescent="0.45">
      <c r="A454">
        <v>453</v>
      </c>
      <c r="B454" t="s">
        <v>72</v>
      </c>
      <c r="C454" t="s">
        <v>1070</v>
      </c>
      <c r="D454">
        <v>6020</v>
      </c>
      <c r="E454" t="s">
        <v>121</v>
      </c>
      <c r="F454">
        <v>6574.14</v>
      </c>
      <c r="G454" t="s">
        <v>197</v>
      </c>
    </row>
    <row r="455" spans="1:7" x14ac:dyDescent="0.45">
      <c r="A455">
        <v>454</v>
      </c>
      <c r="B455" t="s">
        <v>72</v>
      </c>
      <c r="C455" t="s">
        <v>1070</v>
      </c>
      <c r="D455">
        <v>6030</v>
      </c>
      <c r="E455" t="s">
        <v>123</v>
      </c>
      <c r="F455">
        <v>7225.61</v>
      </c>
      <c r="G455" t="s">
        <v>197</v>
      </c>
    </row>
    <row r="456" spans="1:7" x14ac:dyDescent="0.45">
      <c r="A456">
        <v>455</v>
      </c>
      <c r="B456" t="s">
        <v>72</v>
      </c>
      <c r="C456" t="s">
        <v>1070</v>
      </c>
      <c r="D456">
        <v>6040</v>
      </c>
      <c r="E456" t="s">
        <v>125</v>
      </c>
      <c r="F456">
        <v>3126.28</v>
      </c>
      <c r="G456" t="s">
        <v>197</v>
      </c>
    </row>
    <row r="457" spans="1:7" x14ac:dyDescent="0.45">
      <c r="A457">
        <v>456</v>
      </c>
      <c r="B457" t="s">
        <v>72</v>
      </c>
      <c r="C457" t="s">
        <v>1070</v>
      </c>
      <c r="D457">
        <v>6050</v>
      </c>
      <c r="E457" t="s">
        <v>127</v>
      </c>
      <c r="F457">
        <v>1442.99</v>
      </c>
      <c r="G457" t="s">
        <v>197</v>
      </c>
    </row>
    <row r="458" spans="1:7" x14ac:dyDescent="0.45">
      <c r="A458">
        <v>457</v>
      </c>
      <c r="B458" t="s">
        <v>72</v>
      </c>
      <c r="C458" t="s">
        <v>1070</v>
      </c>
      <c r="D458">
        <v>6060</v>
      </c>
      <c r="E458" t="s">
        <v>129</v>
      </c>
      <c r="F458">
        <v>2454.33</v>
      </c>
      <c r="G458" t="s">
        <v>197</v>
      </c>
    </row>
    <row r="459" spans="1:7" x14ac:dyDescent="0.45">
      <c r="A459">
        <v>458</v>
      </c>
      <c r="B459" t="s">
        <v>72</v>
      </c>
      <c r="C459" t="s">
        <v>1070</v>
      </c>
      <c r="D459">
        <v>7000</v>
      </c>
      <c r="E459" t="s">
        <v>133</v>
      </c>
      <c r="F459">
        <v>1114.5999999999999</v>
      </c>
      <c r="G459" t="s">
        <v>197</v>
      </c>
    </row>
    <row r="460" spans="1:7" x14ac:dyDescent="0.45">
      <c r="A460">
        <v>459</v>
      </c>
      <c r="B460" t="s">
        <v>73</v>
      </c>
      <c r="C460" t="s">
        <v>1070</v>
      </c>
      <c r="D460">
        <v>4010</v>
      </c>
      <c r="E460" t="s">
        <v>101</v>
      </c>
      <c r="F460">
        <v>25083.8</v>
      </c>
      <c r="G460" t="s">
        <v>197</v>
      </c>
    </row>
    <row r="461" spans="1:7" x14ac:dyDescent="0.45">
      <c r="A461">
        <v>460</v>
      </c>
      <c r="B461" t="s">
        <v>73</v>
      </c>
      <c r="C461" t="s">
        <v>1070</v>
      </c>
      <c r="D461">
        <v>4020</v>
      </c>
      <c r="E461" t="s">
        <v>103</v>
      </c>
      <c r="F461">
        <v>19577.36</v>
      </c>
      <c r="G461" t="s">
        <v>197</v>
      </c>
    </row>
    <row r="462" spans="1:7" x14ac:dyDescent="0.45">
      <c r="A462">
        <v>461</v>
      </c>
      <c r="B462" t="s">
        <v>73</v>
      </c>
      <c r="C462" t="s">
        <v>1070</v>
      </c>
      <c r="D462">
        <v>4030</v>
      </c>
      <c r="E462" t="s">
        <v>105</v>
      </c>
      <c r="F462">
        <v>15658.93</v>
      </c>
      <c r="G462" t="s">
        <v>197</v>
      </c>
    </row>
    <row r="463" spans="1:7" x14ac:dyDescent="0.45">
      <c r="A463">
        <v>462</v>
      </c>
      <c r="B463" t="s">
        <v>73</v>
      </c>
      <c r="C463" t="s">
        <v>1070</v>
      </c>
      <c r="D463">
        <v>6010</v>
      </c>
      <c r="E463" t="s">
        <v>119</v>
      </c>
      <c r="F463">
        <v>29319.37</v>
      </c>
      <c r="G463" t="s">
        <v>197</v>
      </c>
    </row>
    <row r="464" spans="1:7" x14ac:dyDescent="0.45">
      <c r="A464">
        <v>463</v>
      </c>
      <c r="B464" t="s">
        <v>73</v>
      </c>
      <c r="C464" t="s">
        <v>1070</v>
      </c>
      <c r="D464">
        <v>6020</v>
      </c>
      <c r="E464" t="s">
        <v>121</v>
      </c>
      <c r="F464">
        <v>4167.1000000000004</v>
      </c>
      <c r="G464" t="s">
        <v>197</v>
      </c>
    </row>
    <row r="465" spans="1:7" x14ac:dyDescent="0.45">
      <c r="A465">
        <v>464</v>
      </c>
      <c r="B465" t="s">
        <v>73</v>
      </c>
      <c r="C465" t="s">
        <v>1070</v>
      </c>
      <c r="D465">
        <v>6030</v>
      </c>
      <c r="E465" t="s">
        <v>123</v>
      </c>
      <c r="F465">
        <v>4561.87</v>
      </c>
      <c r="G465" t="s">
        <v>197</v>
      </c>
    </row>
    <row r="466" spans="1:7" x14ac:dyDescent="0.45">
      <c r="A466">
        <v>465</v>
      </c>
      <c r="B466" t="s">
        <v>73</v>
      </c>
      <c r="C466" t="s">
        <v>1070</v>
      </c>
      <c r="D466">
        <v>6040</v>
      </c>
      <c r="E466" t="s">
        <v>125</v>
      </c>
      <c r="F466">
        <v>1982.01</v>
      </c>
      <c r="G466" t="s">
        <v>197</v>
      </c>
    </row>
    <row r="467" spans="1:7" x14ac:dyDescent="0.45">
      <c r="A467">
        <v>466</v>
      </c>
      <c r="B467" t="s">
        <v>73</v>
      </c>
      <c r="C467" t="s">
        <v>1070</v>
      </c>
      <c r="D467">
        <v>6050</v>
      </c>
      <c r="E467" t="s">
        <v>127</v>
      </c>
      <c r="F467">
        <v>908.14</v>
      </c>
      <c r="G467" t="s">
        <v>197</v>
      </c>
    </row>
    <row r="468" spans="1:7" x14ac:dyDescent="0.45">
      <c r="A468">
        <v>467</v>
      </c>
      <c r="B468" t="s">
        <v>73</v>
      </c>
      <c r="C468" t="s">
        <v>1070</v>
      </c>
      <c r="D468">
        <v>6060</v>
      </c>
      <c r="E468" t="s">
        <v>129</v>
      </c>
      <c r="F468">
        <v>1551.01</v>
      </c>
      <c r="G468" t="s">
        <v>197</v>
      </c>
    </row>
    <row r="469" spans="1:7" x14ac:dyDescent="0.45">
      <c r="A469">
        <v>468</v>
      </c>
      <c r="B469" t="s">
        <v>73</v>
      </c>
      <c r="C469" t="s">
        <v>1070</v>
      </c>
      <c r="D469">
        <v>7000</v>
      </c>
      <c r="E469" t="s">
        <v>133</v>
      </c>
      <c r="F469">
        <v>673.8</v>
      </c>
      <c r="G469" t="s">
        <v>197</v>
      </c>
    </row>
    <row r="470" spans="1:7" x14ac:dyDescent="0.45">
      <c r="A470">
        <v>469</v>
      </c>
      <c r="B470" t="s">
        <v>74</v>
      </c>
      <c r="C470" t="s">
        <v>1070</v>
      </c>
      <c r="D470">
        <v>4010</v>
      </c>
      <c r="E470" t="s">
        <v>101</v>
      </c>
      <c r="F470">
        <v>21221.91</v>
      </c>
      <c r="G470" t="s">
        <v>197</v>
      </c>
    </row>
    <row r="471" spans="1:7" x14ac:dyDescent="0.45">
      <c r="A471">
        <v>470</v>
      </c>
      <c r="B471" t="s">
        <v>74</v>
      </c>
      <c r="C471" t="s">
        <v>1070</v>
      </c>
      <c r="D471">
        <v>4020</v>
      </c>
      <c r="E471" t="s">
        <v>103</v>
      </c>
      <c r="F471">
        <v>16628.21</v>
      </c>
      <c r="G471" t="s">
        <v>197</v>
      </c>
    </row>
    <row r="472" spans="1:7" x14ac:dyDescent="0.45">
      <c r="A472">
        <v>471</v>
      </c>
      <c r="B472" t="s">
        <v>74</v>
      </c>
      <c r="C472" t="s">
        <v>1070</v>
      </c>
      <c r="D472">
        <v>4030</v>
      </c>
      <c r="E472" t="s">
        <v>105</v>
      </c>
      <c r="F472">
        <v>13323.12</v>
      </c>
      <c r="G472" t="s">
        <v>197</v>
      </c>
    </row>
    <row r="473" spans="1:7" x14ac:dyDescent="0.45">
      <c r="A473">
        <v>472</v>
      </c>
      <c r="B473" t="s">
        <v>74</v>
      </c>
      <c r="C473" t="s">
        <v>1070</v>
      </c>
      <c r="D473">
        <v>6010</v>
      </c>
      <c r="E473" t="s">
        <v>119</v>
      </c>
      <c r="F473">
        <v>25835.29</v>
      </c>
      <c r="G473" t="s">
        <v>197</v>
      </c>
    </row>
    <row r="474" spans="1:7" x14ac:dyDescent="0.45">
      <c r="A474">
        <v>473</v>
      </c>
      <c r="B474" t="s">
        <v>74</v>
      </c>
      <c r="C474" t="s">
        <v>1070</v>
      </c>
      <c r="D474">
        <v>6020</v>
      </c>
      <c r="E474" t="s">
        <v>121</v>
      </c>
      <c r="F474">
        <v>3705.72</v>
      </c>
      <c r="G474" t="s">
        <v>197</v>
      </c>
    </row>
    <row r="475" spans="1:7" x14ac:dyDescent="0.45">
      <c r="A475">
        <v>474</v>
      </c>
      <c r="B475" t="s">
        <v>74</v>
      </c>
      <c r="C475" t="s">
        <v>1070</v>
      </c>
      <c r="D475">
        <v>6030</v>
      </c>
      <c r="E475" t="s">
        <v>123</v>
      </c>
      <c r="F475">
        <v>4044.52</v>
      </c>
      <c r="G475" t="s">
        <v>197</v>
      </c>
    </row>
    <row r="476" spans="1:7" x14ac:dyDescent="0.45">
      <c r="A476">
        <v>475</v>
      </c>
      <c r="B476" t="s">
        <v>74</v>
      </c>
      <c r="C476" t="s">
        <v>1070</v>
      </c>
      <c r="D476">
        <v>6040</v>
      </c>
      <c r="E476" t="s">
        <v>125</v>
      </c>
      <c r="F476">
        <v>1433.24</v>
      </c>
      <c r="G476" t="s">
        <v>197</v>
      </c>
    </row>
    <row r="477" spans="1:7" x14ac:dyDescent="0.45">
      <c r="A477">
        <v>476</v>
      </c>
      <c r="B477" t="s">
        <v>74</v>
      </c>
      <c r="C477" t="s">
        <v>1070</v>
      </c>
      <c r="D477">
        <v>6050</v>
      </c>
      <c r="E477" t="s">
        <v>127</v>
      </c>
      <c r="F477">
        <v>800.92</v>
      </c>
      <c r="G477" t="s">
        <v>197</v>
      </c>
    </row>
    <row r="478" spans="1:7" x14ac:dyDescent="0.45">
      <c r="A478">
        <v>477</v>
      </c>
      <c r="B478" t="s">
        <v>74</v>
      </c>
      <c r="C478" t="s">
        <v>1070</v>
      </c>
      <c r="D478">
        <v>6060</v>
      </c>
      <c r="E478" t="s">
        <v>129</v>
      </c>
      <c r="F478">
        <v>1349.34</v>
      </c>
      <c r="G478" t="s">
        <v>197</v>
      </c>
    </row>
    <row r="479" spans="1:7" x14ac:dyDescent="0.45">
      <c r="A479">
        <v>478</v>
      </c>
      <c r="B479" t="s">
        <v>74</v>
      </c>
      <c r="C479" t="s">
        <v>1070</v>
      </c>
      <c r="D479">
        <v>7000</v>
      </c>
      <c r="E479" t="s">
        <v>133</v>
      </c>
      <c r="F479">
        <v>595.66999999999996</v>
      </c>
      <c r="G479" t="s">
        <v>197</v>
      </c>
    </row>
    <row r="480" spans="1:7" x14ac:dyDescent="0.45">
      <c r="A480">
        <v>479</v>
      </c>
      <c r="B480" t="s">
        <v>73</v>
      </c>
      <c r="C480" t="s">
        <v>1070</v>
      </c>
      <c r="D480">
        <v>6070</v>
      </c>
      <c r="E480" t="s">
        <v>131</v>
      </c>
      <c r="F480">
        <v>3675.36</v>
      </c>
      <c r="G480" t="s">
        <v>197</v>
      </c>
    </row>
    <row r="481" spans="1:7" x14ac:dyDescent="0.45">
      <c r="A481">
        <v>480</v>
      </c>
      <c r="B481" t="s">
        <v>74</v>
      </c>
      <c r="C481" t="s">
        <v>1070</v>
      </c>
      <c r="D481">
        <v>6070</v>
      </c>
      <c r="E481" t="s">
        <v>131</v>
      </c>
      <c r="F481">
        <v>3260.4</v>
      </c>
      <c r="G481" t="s">
        <v>197</v>
      </c>
    </row>
    <row r="482" spans="1:7" x14ac:dyDescent="0.45">
      <c r="A482">
        <v>481</v>
      </c>
      <c r="B482" t="s">
        <v>72</v>
      </c>
      <c r="C482" t="s">
        <v>925</v>
      </c>
      <c r="D482">
        <v>4010</v>
      </c>
      <c r="E482" t="s">
        <v>101</v>
      </c>
      <c r="F482">
        <v>50557.9</v>
      </c>
      <c r="G482" t="s">
        <v>198</v>
      </c>
    </row>
    <row r="483" spans="1:7" x14ac:dyDescent="0.45">
      <c r="A483">
        <v>482</v>
      </c>
      <c r="B483" t="s">
        <v>72</v>
      </c>
      <c r="C483" t="s">
        <v>925</v>
      </c>
      <c r="D483">
        <v>4020</v>
      </c>
      <c r="E483" t="s">
        <v>103</v>
      </c>
      <c r="F483">
        <v>36408.97</v>
      </c>
      <c r="G483" t="s">
        <v>198</v>
      </c>
    </row>
    <row r="484" spans="1:7" x14ac:dyDescent="0.45">
      <c r="A484">
        <v>483</v>
      </c>
      <c r="B484" t="s">
        <v>72</v>
      </c>
      <c r="C484" t="s">
        <v>925</v>
      </c>
      <c r="D484">
        <v>4030</v>
      </c>
      <c r="E484" t="s">
        <v>105</v>
      </c>
      <c r="F484">
        <v>27340.92</v>
      </c>
      <c r="G484" t="s">
        <v>198</v>
      </c>
    </row>
    <row r="485" spans="1:7" x14ac:dyDescent="0.45">
      <c r="A485">
        <v>484</v>
      </c>
      <c r="B485" t="s">
        <v>72</v>
      </c>
      <c r="C485" t="s">
        <v>925</v>
      </c>
      <c r="D485">
        <v>6010</v>
      </c>
      <c r="E485" t="s">
        <v>119</v>
      </c>
      <c r="F485">
        <v>48567.1</v>
      </c>
      <c r="G485" t="s">
        <v>198</v>
      </c>
    </row>
    <row r="486" spans="1:7" x14ac:dyDescent="0.45">
      <c r="A486">
        <v>485</v>
      </c>
      <c r="B486" t="s">
        <v>72</v>
      </c>
      <c r="C486" t="s">
        <v>925</v>
      </c>
      <c r="D486">
        <v>6020</v>
      </c>
      <c r="E486" t="s">
        <v>121</v>
      </c>
      <c r="F486">
        <v>6894.5</v>
      </c>
      <c r="G486" t="s">
        <v>198</v>
      </c>
    </row>
    <row r="487" spans="1:7" x14ac:dyDescent="0.45">
      <c r="A487">
        <v>486</v>
      </c>
      <c r="B487" t="s">
        <v>72</v>
      </c>
      <c r="C487" t="s">
        <v>925</v>
      </c>
      <c r="D487">
        <v>6030</v>
      </c>
      <c r="E487" t="s">
        <v>123</v>
      </c>
      <c r="F487">
        <v>7279.78</v>
      </c>
      <c r="G487" t="s">
        <v>198</v>
      </c>
    </row>
    <row r="488" spans="1:7" x14ac:dyDescent="0.45">
      <c r="A488">
        <v>487</v>
      </c>
      <c r="B488" t="s">
        <v>72</v>
      </c>
      <c r="C488" t="s">
        <v>925</v>
      </c>
      <c r="D488">
        <v>6040</v>
      </c>
      <c r="E488" t="s">
        <v>125</v>
      </c>
      <c r="F488">
        <v>3679.77</v>
      </c>
      <c r="G488" t="s">
        <v>198</v>
      </c>
    </row>
    <row r="489" spans="1:7" x14ac:dyDescent="0.45">
      <c r="A489">
        <v>488</v>
      </c>
      <c r="B489" t="s">
        <v>72</v>
      </c>
      <c r="C489" t="s">
        <v>925</v>
      </c>
      <c r="D489">
        <v>6050</v>
      </c>
      <c r="E489" t="s">
        <v>127</v>
      </c>
      <c r="F489">
        <v>1425.41</v>
      </c>
      <c r="G489" t="s">
        <v>198</v>
      </c>
    </row>
    <row r="490" spans="1:7" x14ac:dyDescent="0.45">
      <c r="A490">
        <v>489</v>
      </c>
      <c r="B490" t="s">
        <v>72</v>
      </c>
      <c r="C490" t="s">
        <v>925</v>
      </c>
      <c r="D490">
        <v>6060</v>
      </c>
      <c r="E490" t="s">
        <v>129</v>
      </c>
      <c r="F490">
        <v>2461.0300000000002</v>
      </c>
      <c r="G490" t="s">
        <v>198</v>
      </c>
    </row>
    <row r="491" spans="1:7" x14ac:dyDescent="0.45">
      <c r="A491">
        <v>490</v>
      </c>
      <c r="B491" t="s">
        <v>72</v>
      </c>
      <c r="C491" t="s">
        <v>925</v>
      </c>
      <c r="D491">
        <v>7000</v>
      </c>
      <c r="E491" t="s">
        <v>133</v>
      </c>
      <c r="F491">
        <v>1105.5999999999999</v>
      </c>
      <c r="G491" t="s">
        <v>198</v>
      </c>
    </row>
    <row r="492" spans="1:7" x14ac:dyDescent="0.45">
      <c r="A492">
        <v>491</v>
      </c>
      <c r="B492" t="s">
        <v>73</v>
      </c>
      <c r="C492" t="s">
        <v>925</v>
      </c>
      <c r="D492">
        <v>4010</v>
      </c>
      <c r="E492" t="s">
        <v>101</v>
      </c>
      <c r="F492">
        <v>26264.86</v>
      </c>
      <c r="G492" t="s">
        <v>198</v>
      </c>
    </row>
    <row r="493" spans="1:7" x14ac:dyDescent="0.45">
      <c r="A493">
        <v>492</v>
      </c>
      <c r="B493" t="s">
        <v>73</v>
      </c>
      <c r="C493" t="s">
        <v>925</v>
      </c>
      <c r="D493">
        <v>4020</v>
      </c>
      <c r="E493" t="s">
        <v>103</v>
      </c>
      <c r="F493">
        <v>20796.099999999999</v>
      </c>
      <c r="G493" t="s">
        <v>198</v>
      </c>
    </row>
    <row r="494" spans="1:7" x14ac:dyDescent="0.45">
      <c r="A494">
        <v>493</v>
      </c>
      <c r="B494" t="s">
        <v>73</v>
      </c>
      <c r="C494" t="s">
        <v>925</v>
      </c>
      <c r="D494">
        <v>4030</v>
      </c>
      <c r="E494" t="s">
        <v>105</v>
      </c>
      <c r="F494">
        <v>15366.78</v>
      </c>
      <c r="G494" t="s">
        <v>198</v>
      </c>
    </row>
    <row r="495" spans="1:7" x14ac:dyDescent="0.45">
      <c r="A495">
        <v>494</v>
      </c>
      <c r="B495" t="s">
        <v>73</v>
      </c>
      <c r="C495" t="s">
        <v>925</v>
      </c>
      <c r="D495">
        <v>6010</v>
      </c>
      <c r="E495" t="s">
        <v>119</v>
      </c>
      <c r="F495">
        <v>30571.279999999999</v>
      </c>
      <c r="G495" t="s">
        <v>198</v>
      </c>
    </row>
    <row r="496" spans="1:7" x14ac:dyDescent="0.45">
      <c r="A496">
        <v>495</v>
      </c>
      <c r="B496" t="s">
        <v>73</v>
      </c>
      <c r="C496" t="s">
        <v>925</v>
      </c>
      <c r="D496">
        <v>6020</v>
      </c>
      <c r="E496" t="s">
        <v>121</v>
      </c>
      <c r="F496">
        <v>4237.7299999999996</v>
      </c>
      <c r="G496" t="s">
        <v>198</v>
      </c>
    </row>
    <row r="497" spans="1:7" x14ac:dyDescent="0.45">
      <c r="A497">
        <v>496</v>
      </c>
      <c r="B497" t="s">
        <v>73</v>
      </c>
      <c r="C497" t="s">
        <v>925</v>
      </c>
      <c r="D497">
        <v>6030</v>
      </c>
      <c r="E497" t="s">
        <v>123</v>
      </c>
      <c r="F497">
        <v>4504.5</v>
      </c>
      <c r="G497" t="s">
        <v>198</v>
      </c>
    </row>
    <row r="498" spans="1:7" x14ac:dyDescent="0.45">
      <c r="A498">
        <v>497</v>
      </c>
      <c r="B498" t="s">
        <v>73</v>
      </c>
      <c r="C498" t="s">
        <v>925</v>
      </c>
      <c r="D498">
        <v>6040</v>
      </c>
      <c r="E498" t="s">
        <v>125</v>
      </c>
      <c r="F498">
        <v>1790.76</v>
      </c>
      <c r="G498" t="s">
        <v>198</v>
      </c>
    </row>
    <row r="499" spans="1:7" x14ac:dyDescent="0.45">
      <c r="A499">
        <v>498</v>
      </c>
      <c r="B499" t="s">
        <v>73</v>
      </c>
      <c r="C499" t="s">
        <v>925</v>
      </c>
      <c r="D499">
        <v>6050</v>
      </c>
      <c r="E499" t="s">
        <v>127</v>
      </c>
      <c r="F499">
        <v>894.35</v>
      </c>
      <c r="G499" t="s">
        <v>198</v>
      </c>
    </row>
    <row r="500" spans="1:7" x14ac:dyDescent="0.45">
      <c r="A500">
        <v>499</v>
      </c>
      <c r="B500" t="s">
        <v>73</v>
      </c>
      <c r="C500" t="s">
        <v>925</v>
      </c>
      <c r="D500">
        <v>6060</v>
      </c>
      <c r="E500" t="s">
        <v>129</v>
      </c>
      <c r="F500">
        <v>1498.19</v>
      </c>
      <c r="G500" t="s">
        <v>198</v>
      </c>
    </row>
    <row r="501" spans="1:7" x14ac:dyDescent="0.45">
      <c r="A501">
        <v>500</v>
      </c>
      <c r="B501" t="s">
        <v>73</v>
      </c>
      <c r="C501" t="s">
        <v>925</v>
      </c>
      <c r="D501">
        <v>7000</v>
      </c>
      <c r="E501" t="s">
        <v>133</v>
      </c>
      <c r="F501">
        <v>677.67</v>
      </c>
      <c r="G501" t="s">
        <v>198</v>
      </c>
    </row>
    <row r="502" spans="1:7" x14ac:dyDescent="0.45">
      <c r="A502">
        <v>501</v>
      </c>
      <c r="B502" t="s">
        <v>74</v>
      </c>
      <c r="C502" t="s">
        <v>925</v>
      </c>
      <c r="D502">
        <v>4010</v>
      </c>
      <c r="E502" t="s">
        <v>101</v>
      </c>
      <c r="F502">
        <v>27590.18</v>
      </c>
      <c r="G502" t="s">
        <v>198</v>
      </c>
    </row>
    <row r="503" spans="1:7" x14ac:dyDescent="0.45">
      <c r="A503">
        <v>502</v>
      </c>
      <c r="B503" t="s">
        <v>74</v>
      </c>
      <c r="C503" t="s">
        <v>925</v>
      </c>
      <c r="D503">
        <v>4020</v>
      </c>
      <c r="E503" t="s">
        <v>103</v>
      </c>
      <c r="F503">
        <v>20142.919999999998</v>
      </c>
      <c r="G503" t="s">
        <v>198</v>
      </c>
    </row>
    <row r="504" spans="1:7" x14ac:dyDescent="0.45">
      <c r="A504">
        <v>503</v>
      </c>
      <c r="B504" t="s">
        <v>74</v>
      </c>
      <c r="C504" t="s">
        <v>925</v>
      </c>
      <c r="D504">
        <v>4030</v>
      </c>
      <c r="E504" t="s">
        <v>105</v>
      </c>
      <c r="F504">
        <v>16647.36</v>
      </c>
      <c r="G504" t="s">
        <v>198</v>
      </c>
    </row>
    <row r="505" spans="1:7" x14ac:dyDescent="0.45">
      <c r="A505">
        <v>504</v>
      </c>
      <c r="B505" t="s">
        <v>74</v>
      </c>
      <c r="C505" t="s">
        <v>925</v>
      </c>
      <c r="D505">
        <v>6010</v>
      </c>
      <c r="E505" t="s">
        <v>119</v>
      </c>
      <c r="F505">
        <v>26913.279999999999</v>
      </c>
      <c r="G505" t="s">
        <v>198</v>
      </c>
    </row>
    <row r="506" spans="1:7" x14ac:dyDescent="0.45">
      <c r="A506">
        <v>505</v>
      </c>
      <c r="B506" t="s">
        <v>74</v>
      </c>
      <c r="C506" t="s">
        <v>925</v>
      </c>
      <c r="D506">
        <v>6020</v>
      </c>
      <c r="E506" t="s">
        <v>121</v>
      </c>
      <c r="F506">
        <v>3745.25</v>
      </c>
      <c r="G506" t="s">
        <v>198</v>
      </c>
    </row>
    <row r="507" spans="1:7" x14ac:dyDescent="0.45">
      <c r="A507">
        <v>506</v>
      </c>
      <c r="B507" t="s">
        <v>74</v>
      </c>
      <c r="C507" t="s">
        <v>925</v>
      </c>
      <c r="D507">
        <v>6030</v>
      </c>
      <c r="E507" t="s">
        <v>123</v>
      </c>
      <c r="F507">
        <v>4010.13</v>
      </c>
      <c r="G507" t="s">
        <v>198</v>
      </c>
    </row>
    <row r="508" spans="1:7" x14ac:dyDescent="0.45">
      <c r="A508">
        <v>507</v>
      </c>
      <c r="B508" t="s">
        <v>74</v>
      </c>
      <c r="C508" t="s">
        <v>925</v>
      </c>
      <c r="D508">
        <v>6040</v>
      </c>
      <c r="E508" t="s">
        <v>125</v>
      </c>
      <c r="F508">
        <v>2047.13</v>
      </c>
      <c r="G508" t="s">
        <v>198</v>
      </c>
    </row>
    <row r="509" spans="1:7" x14ac:dyDescent="0.45">
      <c r="A509">
        <v>508</v>
      </c>
      <c r="B509" t="s">
        <v>74</v>
      </c>
      <c r="C509" t="s">
        <v>925</v>
      </c>
      <c r="D509">
        <v>6050</v>
      </c>
      <c r="E509" t="s">
        <v>127</v>
      </c>
      <c r="F509">
        <v>812.35</v>
      </c>
      <c r="G509" t="s">
        <v>198</v>
      </c>
    </row>
    <row r="510" spans="1:7" x14ac:dyDescent="0.45">
      <c r="A510">
        <v>509</v>
      </c>
      <c r="B510" t="s">
        <v>74</v>
      </c>
      <c r="C510" t="s">
        <v>925</v>
      </c>
      <c r="D510">
        <v>6060</v>
      </c>
      <c r="E510" t="s">
        <v>129</v>
      </c>
      <c r="F510">
        <v>1297.71</v>
      </c>
      <c r="G510" t="s">
        <v>198</v>
      </c>
    </row>
    <row r="511" spans="1:7" x14ac:dyDescent="0.45">
      <c r="A511">
        <v>510</v>
      </c>
      <c r="B511" t="s">
        <v>74</v>
      </c>
      <c r="C511" t="s">
        <v>925</v>
      </c>
      <c r="D511">
        <v>7000</v>
      </c>
      <c r="E511" t="s">
        <v>133</v>
      </c>
      <c r="F511">
        <v>612.46</v>
      </c>
      <c r="G511" t="s">
        <v>198</v>
      </c>
    </row>
    <row r="512" spans="1:7" x14ac:dyDescent="0.45">
      <c r="A512">
        <v>511</v>
      </c>
      <c r="B512" t="s">
        <v>73</v>
      </c>
      <c r="C512" t="s">
        <v>925</v>
      </c>
      <c r="D512">
        <v>6070</v>
      </c>
      <c r="E512" t="s">
        <v>131</v>
      </c>
      <c r="F512">
        <v>3707.6</v>
      </c>
      <c r="G512" t="s">
        <v>198</v>
      </c>
    </row>
    <row r="513" spans="1:7" x14ac:dyDescent="0.45">
      <c r="A513">
        <v>512</v>
      </c>
      <c r="B513" t="s">
        <v>74</v>
      </c>
      <c r="C513" t="s">
        <v>925</v>
      </c>
      <c r="D513">
        <v>6070</v>
      </c>
      <c r="E513" t="s">
        <v>131</v>
      </c>
      <c r="F513">
        <v>3289</v>
      </c>
      <c r="G513" t="s">
        <v>198</v>
      </c>
    </row>
    <row r="514" spans="1:7" x14ac:dyDescent="0.45">
      <c r="A514">
        <v>513</v>
      </c>
      <c r="B514" t="s">
        <v>72</v>
      </c>
      <c r="C514" t="s">
        <v>972</v>
      </c>
      <c r="D514">
        <v>4010</v>
      </c>
      <c r="E514" t="s">
        <v>101</v>
      </c>
      <c r="F514">
        <v>45890.74</v>
      </c>
      <c r="G514" t="s">
        <v>199</v>
      </c>
    </row>
    <row r="515" spans="1:7" x14ac:dyDescent="0.45">
      <c r="A515">
        <v>514</v>
      </c>
      <c r="B515" t="s">
        <v>72</v>
      </c>
      <c r="C515" t="s">
        <v>972</v>
      </c>
      <c r="D515">
        <v>4020</v>
      </c>
      <c r="E515" t="s">
        <v>103</v>
      </c>
      <c r="F515">
        <v>35880.39</v>
      </c>
      <c r="G515" t="s">
        <v>199</v>
      </c>
    </row>
    <row r="516" spans="1:7" x14ac:dyDescent="0.45">
      <c r="A516">
        <v>515</v>
      </c>
      <c r="B516" t="s">
        <v>72</v>
      </c>
      <c r="C516" t="s">
        <v>972</v>
      </c>
      <c r="D516">
        <v>4030</v>
      </c>
      <c r="E516" t="s">
        <v>105</v>
      </c>
      <c r="F516">
        <v>28007.03</v>
      </c>
      <c r="G516" t="s">
        <v>199</v>
      </c>
    </row>
    <row r="517" spans="1:7" x14ac:dyDescent="0.45">
      <c r="A517">
        <v>516</v>
      </c>
      <c r="B517" t="s">
        <v>72</v>
      </c>
      <c r="C517" t="s">
        <v>972</v>
      </c>
      <c r="D517">
        <v>6010</v>
      </c>
      <c r="E517" t="s">
        <v>119</v>
      </c>
      <c r="F517">
        <v>49487.09</v>
      </c>
      <c r="G517" t="s">
        <v>199</v>
      </c>
    </row>
    <row r="518" spans="1:7" x14ac:dyDescent="0.45">
      <c r="A518">
        <v>517</v>
      </c>
      <c r="B518" t="s">
        <v>72</v>
      </c>
      <c r="C518" t="s">
        <v>972</v>
      </c>
      <c r="D518">
        <v>6020</v>
      </c>
      <c r="E518" t="s">
        <v>121</v>
      </c>
      <c r="F518">
        <v>6921.01</v>
      </c>
      <c r="G518" t="s">
        <v>199</v>
      </c>
    </row>
    <row r="519" spans="1:7" x14ac:dyDescent="0.45">
      <c r="A519">
        <v>518</v>
      </c>
      <c r="B519" t="s">
        <v>72</v>
      </c>
      <c r="C519" t="s">
        <v>972</v>
      </c>
      <c r="D519">
        <v>6030</v>
      </c>
      <c r="E519" t="s">
        <v>123</v>
      </c>
      <c r="F519">
        <v>7222.58</v>
      </c>
      <c r="G519" t="s">
        <v>199</v>
      </c>
    </row>
    <row r="520" spans="1:7" x14ac:dyDescent="0.45">
      <c r="A520">
        <v>519</v>
      </c>
      <c r="B520" t="s">
        <v>72</v>
      </c>
      <c r="C520" t="s">
        <v>972</v>
      </c>
      <c r="D520">
        <v>6040</v>
      </c>
      <c r="E520" t="s">
        <v>125</v>
      </c>
      <c r="F520">
        <v>3631.98</v>
      </c>
      <c r="G520" t="s">
        <v>199</v>
      </c>
    </row>
    <row r="521" spans="1:7" x14ac:dyDescent="0.45">
      <c r="A521">
        <v>520</v>
      </c>
      <c r="B521" t="s">
        <v>72</v>
      </c>
      <c r="C521" t="s">
        <v>972</v>
      </c>
      <c r="D521">
        <v>6050</v>
      </c>
      <c r="E521" t="s">
        <v>127</v>
      </c>
      <c r="F521">
        <v>1435.14</v>
      </c>
      <c r="G521" t="s">
        <v>199</v>
      </c>
    </row>
    <row r="522" spans="1:7" x14ac:dyDescent="0.45">
      <c r="A522">
        <v>521</v>
      </c>
      <c r="B522" t="s">
        <v>72</v>
      </c>
      <c r="C522" t="s">
        <v>972</v>
      </c>
      <c r="D522">
        <v>6060</v>
      </c>
      <c r="E522" t="s">
        <v>129</v>
      </c>
      <c r="F522">
        <v>2427.4</v>
      </c>
      <c r="G522" t="s">
        <v>199</v>
      </c>
    </row>
    <row r="523" spans="1:7" x14ac:dyDescent="0.45">
      <c r="A523">
        <v>522</v>
      </c>
      <c r="B523" t="s">
        <v>72</v>
      </c>
      <c r="C523" t="s">
        <v>972</v>
      </c>
      <c r="D523">
        <v>7000</v>
      </c>
      <c r="E523" t="s">
        <v>133</v>
      </c>
      <c r="F523">
        <v>1104.8499999999999</v>
      </c>
      <c r="G523" t="s">
        <v>199</v>
      </c>
    </row>
    <row r="524" spans="1:7" x14ac:dyDescent="0.45">
      <c r="A524">
        <v>523</v>
      </c>
      <c r="B524" t="s">
        <v>73</v>
      </c>
      <c r="C524" t="s">
        <v>972</v>
      </c>
      <c r="D524">
        <v>4010</v>
      </c>
      <c r="E524" t="s">
        <v>101</v>
      </c>
      <c r="F524">
        <v>26196.7</v>
      </c>
      <c r="G524" t="s">
        <v>199</v>
      </c>
    </row>
    <row r="525" spans="1:7" x14ac:dyDescent="0.45">
      <c r="A525">
        <v>524</v>
      </c>
      <c r="B525" t="s">
        <v>73</v>
      </c>
      <c r="C525" t="s">
        <v>972</v>
      </c>
      <c r="D525">
        <v>4020</v>
      </c>
      <c r="E525" t="s">
        <v>103</v>
      </c>
      <c r="F525">
        <v>22397.37</v>
      </c>
      <c r="G525" t="s">
        <v>199</v>
      </c>
    </row>
    <row r="526" spans="1:7" x14ac:dyDescent="0.45">
      <c r="A526">
        <v>525</v>
      </c>
      <c r="B526" t="s">
        <v>73</v>
      </c>
      <c r="C526" t="s">
        <v>972</v>
      </c>
      <c r="D526">
        <v>4030</v>
      </c>
      <c r="E526" t="s">
        <v>105</v>
      </c>
      <c r="F526">
        <v>15849.25</v>
      </c>
      <c r="G526" t="s">
        <v>199</v>
      </c>
    </row>
    <row r="527" spans="1:7" x14ac:dyDescent="0.45">
      <c r="A527">
        <v>526</v>
      </c>
      <c r="B527" t="s">
        <v>73</v>
      </c>
      <c r="C527" t="s">
        <v>972</v>
      </c>
      <c r="D527">
        <v>6010</v>
      </c>
      <c r="E527" t="s">
        <v>119</v>
      </c>
      <c r="F527">
        <v>30600.36</v>
      </c>
      <c r="G527" t="s">
        <v>199</v>
      </c>
    </row>
    <row r="528" spans="1:7" x14ac:dyDescent="0.45">
      <c r="A528">
        <v>527</v>
      </c>
      <c r="B528" t="s">
        <v>73</v>
      </c>
      <c r="C528" t="s">
        <v>972</v>
      </c>
      <c r="D528">
        <v>6020</v>
      </c>
      <c r="E528" t="s">
        <v>121</v>
      </c>
      <c r="F528">
        <v>4187.01</v>
      </c>
      <c r="G528" t="s">
        <v>199</v>
      </c>
    </row>
    <row r="529" spans="1:7" x14ac:dyDescent="0.45">
      <c r="A529">
        <v>528</v>
      </c>
      <c r="B529" t="s">
        <v>73</v>
      </c>
      <c r="C529" t="s">
        <v>972</v>
      </c>
      <c r="D529">
        <v>6030</v>
      </c>
      <c r="E529" t="s">
        <v>123</v>
      </c>
      <c r="F529">
        <v>4622.55</v>
      </c>
      <c r="G529" t="s">
        <v>199</v>
      </c>
    </row>
    <row r="530" spans="1:7" x14ac:dyDescent="0.45">
      <c r="A530">
        <v>529</v>
      </c>
      <c r="B530" t="s">
        <v>73</v>
      </c>
      <c r="C530" t="s">
        <v>972</v>
      </c>
      <c r="D530">
        <v>6040</v>
      </c>
      <c r="E530" t="s">
        <v>125</v>
      </c>
      <c r="F530">
        <v>2068.77</v>
      </c>
      <c r="G530" t="s">
        <v>199</v>
      </c>
    </row>
    <row r="531" spans="1:7" x14ac:dyDescent="0.45">
      <c r="A531">
        <v>530</v>
      </c>
      <c r="B531" t="s">
        <v>73</v>
      </c>
      <c r="C531" t="s">
        <v>972</v>
      </c>
      <c r="D531">
        <v>6050</v>
      </c>
      <c r="E531" t="s">
        <v>127</v>
      </c>
      <c r="F531">
        <v>890.95</v>
      </c>
      <c r="G531" t="s">
        <v>199</v>
      </c>
    </row>
    <row r="532" spans="1:7" x14ac:dyDescent="0.45">
      <c r="A532">
        <v>531</v>
      </c>
      <c r="B532" t="s">
        <v>73</v>
      </c>
      <c r="C532" t="s">
        <v>972</v>
      </c>
      <c r="D532">
        <v>6060</v>
      </c>
      <c r="E532" t="s">
        <v>129</v>
      </c>
      <c r="F532">
        <v>1436.34</v>
      </c>
      <c r="G532" t="s">
        <v>199</v>
      </c>
    </row>
    <row r="533" spans="1:7" x14ac:dyDescent="0.45">
      <c r="A533">
        <v>532</v>
      </c>
      <c r="B533" t="s">
        <v>73</v>
      </c>
      <c r="C533" t="s">
        <v>972</v>
      </c>
      <c r="D533">
        <v>7000</v>
      </c>
      <c r="E533" t="s">
        <v>133</v>
      </c>
      <c r="F533">
        <v>694.22</v>
      </c>
      <c r="G533" t="s">
        <v>199</v>
      </c>
    </row>
    <row r="534" spans="1:7" x14ac:dyDescent="0.45">
      <c r="A534">
        <v>533</v>
      </c>
      <c r="B534" t="s">
        <v>74</v>
      </c>
      <c r="C534" t="s">
        <v>972</v>
      </c>
      <c r="D534">
        <v>4010</v>
      </c>
      <c r="E534" t="s">
        <v>101</v>
      </c>
      <c r="F534">
        <v>23323.01</v>
      </c>
      <c r="G534" t="s">
        <v>199</v>
      </c>
    </row>
    <row r="535" spans="1:7" x14ac:dyDescent="0.45">
      <c r="A535">
        <v>534</v>
      </c>
      <c r="B535" t="s">
        <v>74</v>
      </c>
      <c r="C535" t="s">
        <v>972</v>
      </c>
      <c r="D535">
        <v>4020</v>
      </c>
      <c r="E535" t="s">
        <v>103</v>
      </c>
      <c r="F535">
        <v>17901.84</v>
      </c>
      <c r="G535" t="s">
        <v>199</v>
      </c>
    </row>
    <row r="536" spans="1:7" x14ac:dyDescent="0.45">
      <c r="A536">
        <v>535</v>
      </c>
      <c r="B536" t="s">
        <v>74</v>
      </c>
      <c r="C536" t="s">
        <v>972</v>
      </c>
      <c r="D536">
        <v>4030</v>
      </c>
      <c r="E536" t="s">
        <v>105</v>
      </c>
      <c r="F536">
        <v>13935.52</v>
      </c>
      <c r="G536" t="s">
        <v>199</v>
      </c>
    </row>
    <row r="537" spans="1:7" x14ac:dyDescent="0.45">
      <c r="A537">
        <v>536</v>
      </c>
      <c r="B537" t="s">
        <v>74</v>
      </c>
      <c r="C537" t="s">
        <v>972</v>
      </c>
      <c r="D537">
        <v>6010</v>
      </c>
      <c r="E537" t="s">
        <v>119</v>
      </c>
      <c r="F537">
        <v>26941.29</v>
      </c>
      <c r="G537" t="s">
        <v>199</v>
      </c>
    </row>
    <row r="538" spans="1:7" x14ac:dyDescent="0.45">
      <c r="A538">
        <v>537</v>
      </c>
      <c r="B538" t="s">
        <v>74</v>
      </c>
      <c r="C538" t="s">
        <v>972</v>
      </c>
      <c r="D538">
        <v>6020</v>
      </c>
      <c r="E538" t="s">
        <v>121</v>
      </c>
      <c r="F538">
        <v>3742.6</v>
      </c>
      <c r="G538" t="s">
        <v>199</v>
      </c>
    </row>
    <row r="539" spans="1:7" x14ac:dyDescent="0.45">
      <c r="A539">
        <v>538</v>
      </c>
      <c r="B539" t="s">
        <v>74</v>
      </c>
      <c r="C539" t="s">
        <v>972</v>
      </c>
      <c r="D539">
        <v>6030</v>
      </c>
      <c r="E539" t="s">
        <v>123</v>
      </c>
      <c r="F539">
        <v>4086.53</v>
      </c>
      <c r="G539" t="s">
        <v>199</v>
      </c>
    </row>
    <row r="540" spans="1:7" x14ac:dyDescent="0.45">
      <c r="A540">
        <v>539</v>
      </c>
      <c r="B540" t="s">
        <v>74</v>
      </c>
      <c r="C540" t="s">
        <v>972</v>
      </c>
      <c r="D540">
        <v>6040</v>
      </c>
      <c r="E540" t="s">
        <v>125</v>
      </c>
      <c r="F540">
        <v>1419.72</v>
      </c>
      <c r="G540" t="s">
        <v>199</v>
      </c>
    </row>
    <row r="541" spans="1:7" x14ac:dyDescent="0.45">
      <c r="A541">
        <v>540</v>
      </c>
      <c r="B541" t="s">
        <v>74</v>
      </c>
      <c r="C541" t="s">
        <v>972</v>
      </c>
      <c r="D541">
        <v>6050</v>
      </c>
      <c r="E541" t="s">
        <v>127</v>
      </c>
      <c r="F541">
        <v>788.62</v>
      </c>
      <c r="G541" t="s">
        <v>199</v>
      </c>
    </row>
    <row r="542" spans="1:7" x14ac:dyDescent="0.45">
      <c r="A542">
        <v>541</v>
      </c>
      <c r="B542" t="s">
        <v>74</v>
      </c>
      <c r="C542" t="s">
        <v>972</v>
      </c>
      <c r="D542">
        <v>6060</v>
      </c>
      <c r="E542" t="s">
        <v>129</v>
      </c>
      <c r="F542">
        <v>1365.5</v>
      </c>
      <c r="G542" t="s">
        <v>199</v>
      </c>
    </row>
    <row r="543" spans="1:7" x14ac:dyDescent="0.45">
      <c r="A543">
        <v>542</v>
      </c>
      <c r="B543" t="s">
        <v>74</v>
      </c>
      <c r="C543" t="s">
        <v>972</v>
      </c>
      <c r="D543">
        <v>7000</v>
      </c>
      <c r="E543" t="s">
        <v>133</v>
      </c>
      <c r="F543">
        <v>600.30999999999995</v>
      </c>
      <c r="G543" t="s">
        <v>199</v>
      </c>
    </row>
    <row r="544" spans="1:7" x14ac:dyDescent="0.45">
      <c r="A544">
        <v>543</v>
      </c>
      <c r="B544" t="s">
        <v>73</v>
      </c>
      <c r="C544" t="s">
        <v>972</v>
      </c>
      <c r="D544">
        <v>6070</v>
      </c>
      <c r="E544" t="s">
        <v>131</v>
      </c>
      <c r="F544">
        <v>3739.84</v>
      </c>
      <c r="G544" t="s">
        <v>199</v>
      </c>
    </row>
    <row r="545" spans="1:7" x14ac:dyDescent="0.45">
      <c r="A545">
        <v>544</v>
      </c>
      <c r="B545" t="s">
        <v>74</v>
      </c>
      <c r="C545" t="s">
        <v>972</v>
      </c>
      <c r="D545">
        <v>6070</v>
      </c>
      <c r="E545" t="s">
        <v>131</v>
      </c>
      <c r="F545">
        <v>3317.6</v>
      </c>
      <c r="G545" t="s">
        <v>199</v>
      </c>
    </row>
    <row r="546" spans="1:7" x14ac:dyDescent="0.45">
      <c r="A546">
        <v>545</v>
      </c>
      <c r="B546" t="s">
        <v>72</v>
      </c>
      <c r="C546" t="s">
        <v>1071</v>
      </c>
      <c r="D546">
        <v>4010</v>
      </c>
      <c r="E546" t="s">
        <v>101</v>
      </c>
      <c r="F546">
        <v>46738.17</v>
      </c>
      <c r="G546" t="s">
        <v>200</v>
      </c>
    </row>
    <row r="547" spans="1:7" x14ac:dyDescent="0.45">
      <c r="A547">
        <v>546</v>
      </c>
      <c r="B547" t="s">
        <v>72</v>
      </c>
      <c r="C547" t="s">
        <v>1071</v>
      </c>
      <c r="D547">
        <v>4020</v>
      </c>
      <c r="E547" t="s">
        <v>103</v>
      </c>
      <c r="F547">
        <v>36939.51</v>
      </c>
      <c r="G547" t="s">
        <v>200</v>
      </c>
    </row>
    <row r="548" spans="1:7" x14ac:dyDescent="0.45">
      <c r="A548">
        <v>547</v>
      </c>
      <c r="B548" t="s">
        <v>72</v>
      </c>
      <c r="C548" t="s">
        <v>1071</v>
      </c>
      <c r="D548">
        <v>4030</v>
      </c>
      <c r="E548" t="s">
        <v>105</v>
      </c>
      <c r="F548">
        <v>27684.41</v>
      </c>
      <c r="G548" t="s">
        <v>200</v>
      </c>
    </row>
    <row r="549" spans="1:7" x14ac:dyDescent="0.45">
      <c r="A549">
        <v>548</v>
      </c>
      <c r="B549" t="s">
        <v>72</v>
      </c>
      <c r="C549" t="s">
        <v>1071</v>
      </c>
      <c r="D549">
        <v>6010</v>
      </c>
      <c r="E549" t="s">
        <v>119</v>
      </c>
      <c r="F549">
        <v>48699.54</v>
      </c>
      <c r="G549" t="s">
        <v>200</v>
      </c>
    </row>
    <row r="550" spans="1:7" x14ac:dyDescent="0.45">
      <c r="A550">
        <v>549</v>
      </c>
      <c r="B550" t="s">
        <v>72</v>
      </c>
      <c r="C550" t="s">
        <v>1071</v>
      </c>
      <c r="D550">
        <v>6020</v>
      </c>
      <c r="E550" t="s">
        <v>121</v>
      </c>
      <c r="F550">
        <v>6946.5</v>
      </c>
      <c r="G550" t="s">
        <v>200</v>
      </c>
    </row>
    <row r="551" spans="1:7" x14ac:dyDescent="0.45">
      <c r="A551">
        <v>550</v>
      </c>
      <c r="B551" t="s">
        <v>72</v>
      </c>
      <c r="C551" t="s">
        <v>1071</v>
      </c>
      <c r="D551">
        <v>6030</v>
      </c>
      <c r="E551" t="s">
        <v>123</v>
      </c>
      <c r="F551">
        <v>7310.39</v>
      </c>
      <c r="G551" t="s">
        <v>200</v>
      </c>
    </row>
    <row r="552" spans="1:7" x14ac:dyDescent="0.45">
      <c r="A552">
        <v>551</v>
      </c>
      <c r="B552" t="s">
        <v>72</v>
      </c>
      <c r="C552" t="s">
        <v>1071</v>
      </c>
      <c r="D552">
        <v>6040</v>
      </c>
      <c r="E552" t="s">
        <v>125</v>
      </c>
      <c r="F552">
        <v>3044.1</v>
      </c>
      <c r="G552" t="s">
        <v>200</v>
      </c>
    </row>
    <row r="553" spans="1:7" x14ac:dyDescent="0.45">
      <c r="A553">
        <v>552</v>
      </c>
      <c r="B553" t="s">
        <v>72</v>
      </c>
      <c r="C553" t="s">
        <v>1071</v>
      </c>
      <c r="D553">
        <v>6050</v>
      </c>
      <c r="E553" t="s">
        <v>127</v>
      </c>
      <c r="F553">
        <v>1428</v>
      </c>
      <c r="G553" t="s">
        <v>200</v>
      </c>
    </row>
    <row r="554" spans="1:7" x14ac:dyDescent="0.45">
      <c r="A554">
        <v>553</v>
      </c>
      <c r="B554" t="s">
        <v>72</v>
      </c>
      <c r="C554" t="s">
        <v>1071</v>
      </c>
      <c r="D554">
        <v>6060</v>
      </c>
      <c r="E554" t="s">
        <v>129</v>
      </c>
      <c r="F554">
        <v>2381.4699999999998</v>
      </c>
      <c r="G554" t="s">
        <v>200</v>
      </c>
    </row>
    <row r="555" spans="1:7" x14ac:dyDescent="0.45">
      <c r="A555">
        <v>554</v>
      </c>
      <c r="B555" t="s">
        <v>72</v>
      </c>
      <c r="C555" t="s">
        <v>1071</v>
      </c>
      <c r="D555">
        <v>7000</v>
      </c>
      <c r="E555" t="s">
        <v>133</v>
      </c>
      <c r="F555">
        <v>1083.26</v>
      </c>
      <c r="G555" t="s">
        <v>200</v>
      </c>
    </row>
    <row r="556" spans="1:7" x14ac:dyDescent="0.45">
      <c r="A556">
        <v>555</v>
      </c>
      <c r="B556" t="s">
        <v>73</v>
      </c>
      <c r="C556" t="s">
        <v>1071</v>
      </c>
      <c r="D556">
        <v>4010</v>
      </c>
      <c r="E556" t="s">
        <v>101</v>
      </c>
      <c r="F556">
        <v>29542.6</v>
      </c>
      <c r="G556" t="s">
        <v>200</v>
      </c>
    </row>
    <row r="557" spans="1:7" x14ac:dyDescent="0.45">
      <c r="A557">
        <v>556</v>
      </c>
      <c r="B557" t="s">
        <v>73</v>
      </c>
      <c r="C557" t="s">
        <v>1071</v>
      </c>
      <c r="D557">
        <v>4020</v>
      </c>
      <c r="E557" t="s">
        <v>103</v>
      </c>
      <c r="F557">
        <v>21880.89</v>
      </c>
      <c r="G557" t="s">
        <v>200</v>
      </c>
    </row>
    <row r="558" spans="1:7" x14ac:dyDescent="0.45">
      <c r="A558">
        <v>557</v>
      </c>
      <c r="B558" t="s">
        <v>73</v>
      </c>
      <c r="C558" t="s">
        <v>1071</v>
      </c>
      <c r="D558">
        <v>4030</v>
      </c>
      <c r="E558" t="s">
        <v>105</v>
      </c>
      <c r="F558">
        <v>16631.009999999998</v>
      </c>
      <c r="G558" t="s">
        <v>200</v>
      </c>
    </row>
    <row r="559" spans="1:7" x14ac:dyDescent="0.45">
      <c r="A559">
        <v>558</v>
      </c>
      <c r="B559" t="s">
        <v>73</v>
      </c>
      <c r="C559" t="s">
        <v>1071</v>
      </c>
      <c r="D559">
        <v>6010</v>
      </c>
      <c r="E559" t="s">
        <v>119</v>
      </c>
      <c r="F559">
        <v>30796.33</v>
      </c>
      <c r="G559" t="s">
        <v>200</v>
      </c>
    </row>
    <row r="560" spans="1:7" x14ac:dyDescent="0.45">
      <c r="A560">
        <v>559</v>
      </c>
      <c r="B560" t="s">
        <v>73</v>
      </c>
      <c r="C560" t="s">
        <v>1071</v>
      </c>
      <c r="D560">
        <v>6020</v>
      </c>
      <c r="E560" t="s">
        <v>121</v>
      </c>
      <c r="F560">
        <v>4365.4799999999996</v>
      </c>
      <c r="G560" t="s">
        <v>200</v>
      </c>
    </row>
    <row r="561" spans="1:7" x14ac:dyDescent="0.45">
      <c r="A561">
        <v>560</v>
      </c>
      <c r="B561" t="s">
        <v>73</v>
      </c>
      <c r="C561" t="s">
        <v>1071</v>
      </c>
      <c r="D561">
        <v>6030</v>
      </c>
      <c r="E561" t="s">
        <v>123</v>
      </c>
      <c r="F561">
        <v>4578.87</v>
      </c>
      <c r="G561" t="s">
        <v>200</v>
      </c>
    </row>
    <row r="562" spans="1:7" x14ac:dyDescent="0.45">
      <c r="A562">
        <v>561</v>
      </c>
      <c r="B562" t="s">
        <v>73</v>
      </c>
      <c r="C562" t="s">
        <v>1071</v>
      </c>
      <c r="D562">
        <v>6040</v>
      </c>
      <c r="E562" t="s">
        <v>125</v>
      </c>
      <c r="F562">
        <v>1888.02</v>
      </c>
      <c r="G562" t="s">
        <v>200</v>
      </c>
    </row>
    <row r="563" spans="1:7" x14ac:dyDescent="0.45">
      <c r="A563">
        <v>562</v>
      </c>
      <c r="B563" t="s">
        <v>73</v>
      </c>
      <c r="C563" t="s">
        <v>1071</v>
      </c>
      <c r="D563">
        <v>6050</v>
      </c>
      <c r="E563" t="s">
        <v>127</v>
      </c>
      <c r="F563">
        <v>884.63</v>
      </c>
      <c r="G563" t="s">
        <v>200</v>
      </c>
    </row>
    <row r="564" spans="1:7" x14ac:dyDescent="0.45">
      <c r="A564">
        <v>563</v>
      </c>
      <c r="B564" t="s">
        <v>73</v>
      </c>
      <c r="C564" t="s">
        <v>1071</v>
      </c>
      <c r="D564">
        <v>6060</v>
      </c>
      <c r="E564" t="s">
        <v>129</v>
      </c>
      <c r="F564">
        <v>1476.74</v>
      </c>
      <c r="G564" t="s">
        <v>200</v>
      </c>
    </row>
    <row r="565" spans="1:7" x14ac:dyDescent="0.45">
      <c r="A565">
        <v>564</v>
      </c>
      <c r="B565" t="s">
        <v>73</v>
      </c>
      <c r="C565" t="s">
        <v>1071</v>
      </c>
      <c r="D565">
        <v>7000</v>
      </c>
      <c r="E565" t="s">
        <v>133</v>
      </c>
      <c r="F565">
        <v>674.57</v>
      </c>
      <c r="G565" t="s">
        <v>200</v>
      </c>
    </row>
    <row r="566" spans="1:7" x14ac:dyDescent="0.45">
      <c r="A566">
        <v>565</v>
      </c>
      <c r="B566" t="s">
        <v>74</v>
      </c>
      <c r="C566" t="s">
        <v>1071</v>
      </c>
      <c r="D566">
        <v>4010</v>
      </c>
      <c r="E566" t="s">
        <v>101</v>
      </c>
      <c r="F566">
        <v>22390.080000000002</v>
      </c>
      <c r="G566" t="s">
        <v>200</v>
      </c>
    </row>
    <row r="567" spans="1:7" x14ac:dyDescent="0.45">
      <c r="A567">
        <v>566</v>
      </c>
      <c r="B567" t="s">
        <v>74</v>
      </c>
      <c r="C567" t="s">
        <v>1071</v>
      </c>
      <c r="D567">
        <v>4020</v>
      </c>
      <c r="E567" t="s">
        <v>103</v>
      </c>
      <c r="F567">
        <v>18574.34</v>
      </c>
      <c r="G567" t="s">
        <v>200</v>
      </c>
    </row>
    <row r="568" spans="1:7" x14ac:dyDescent="0.45">
      <c r="A568">
        <v>567</v>
      </c>
      <c r="B568" t="s">
        <v>74</v>
      </c>
      <c r="C568" t="s">
        <v>1071</v>
      </c>
      <c r="D568">
        <v>4030</v>
      </c>
      <c r="E568" t="s">
        <v>105</v>
      </c>
      <c r="F568">
        <v>13699.69</v>
      </c>
      <c r="G568" t="s">
        <v>200</v>
      </c>
    </row>
    <row r="569" spans="1:7" x14ac:dyDescent="0.45">
      <c r="A569">
        <v>568</v>
      </c>
      <c r="B569" t="s">
        <v>74</v>
      </c>
      <c r="C569" t="s">
        <v>1071</v>
      </c>
      <c r="D569">
        <v>6010</v>
      </c>
      <c r="E569" t="s">
        <v>119</v>
      </c>
      <c r="F569">
        <v>27086.880000000001</v>
      </c>
      <c r="G569" t="s">
        <v>200</v>
      </c>
    </row>
    <row r="570" spans="1:7" x14ac:dyDescent="0.45">
      <c r="A570">
        <v>569</v>
      </c>
      <c r="B570" t="s">
        <v>74</v>
      </c>
      <c r="C570" t="s">
        <v>1071</v>
      </c>
      <c r="D570">
        <v>6020</v>
      </c>
      <c r="E570" t="s">
        <v>121</v>
      </c>
      <c r="F570">
        <v>3819.54</v>
      </c>
      <c r="G570" t="s">
        <v>200</v>
      </c>
    </row>
    <row r="571" spans="1:7" x14ac:dyDescent="0.45">
      <c r="A571">
        <v>570</v>
      </c>
      <c r="B571" t="s">
        <v>74</v>
      </c>
      <c r="C571" t="s">
        <v>1071</v>
      </c>
      <c r="D571">
        <v>6030</v>
      </c>
      <c r="E571" t="s">
        <v>123</v>
      </c>
      <c r="F571">
        <v>3997.24</v>
      </c>
      <c r="G571" t="s">
        <v>200</v>
      </c>
    </row>
    <row r="572" spans="1:7" x14ac:dyDescent="0.45">
      <c r="A572">
        <v>571</v>
      </c>
      <c r="B572" t="s">
        <v>74</v>
      </c>
      <c r="C572" t="s">
        <v>1071</v>
      </c>
      <c r="D572">
        <v>6040</v>
      </c>
      <c r="E572" t="s">
        <v>125</v>
      </c>
      <c r="F572">
        <v>1836.25</v>
      </c>
      <c r="G572" t="s">
        <v>200</v>
      </c>
    </row>
    <row r="573" spans="1:7" x14ac:dyDescent="0.45">
      <c r="A573">
        <v>572</v>
      </c>
      <c r="B573" t="s">
        <v>74</v>
      </c>
      <c r="C573" t="s">
        <v>1071</v>
      </c>
      <c r="D573">
        <v>6050</v>
      </c>
      <c r="E573" t="s">
        <v>127</v>
      </c>
      <c r="F573">
        <v>797.21</v>
      </c>
      <c r="G573" t="s">
        <v>200</v>
      </c>
    </row>
    <row r="574" spans="1:7" x14ac:dyDescent="0.45">
      <c r="A574">
        <v>573</v>
      </c>
      <c r="B574" t="s">
        <v>74</v>
      </c>
      <c r="C574" t="s">
        <v>1071</v>
      </c>
      <c r="D574">
        <v>6060</v>
      </c>
      <c r="E574" t="s">
        <v>129</v>
      </c>
      <c r="F574">
        <v>1401.72</v>
      </c>
      <c r="G574" t="s">
        <v>200</v>
      </c>
    </row>
    <row r="575" spans="1:7" x14ac:dyDescent="0.45">
      <c r="A575">
        <v>574</v>
      </c>
      <c r="B575" t="s">
        <v>74</v>
      </c>
      <c r="C575" t="s">
        <v>1071</v>
      </c>
      <c r="D575">
        <v>7000</v>
      </c>
      <c r="E575" t="s">
        <v>133</v>
      </c>
      <c r="F575">
        <v>606.79</v>
      </c>
      <c r="G575" t="s">
        <v>200</v>
      </c>
    </row>
    <row r="576" spans="1:7" x14ac:dyDescent="0.45">
      <c r="A576">
        <v>575</v>
      </c>
      <c r="B576" t="s">
        <v>73</v>
      </c>
      <c r="C576" t="s">
        <v>1071</v>
      </c>
      <c r="D576">
        <v>6070</v>
      </c>
      <c r="E576" t="s">
        <v>131</v>
      </c>
      <c r="F576">
        <v>3772.08</v>
      </c>
      <c r="G576" t="s">
        <v>200</v>
      </c>
    </row>
    <row r="577" spans="1:7" x14ac:dyDescent="0.45">
      <c r="A577">
        <v>576</v>
      </c>
      <c r="B577" t="s">
        <v>74</v>
      </c>
      <c r="C577" t="s">
        <v>1071</v>
      </c>
      <c r="D577">
        <v>6070</v>
      </c>
      <c r="E577" t="s">
        <v>131</v>
      </c>
      <c r="F577">
        <v>3346.2</v>
      </c>
      <c r="G577" t="s">
        <v>200</v>
      </c>
    </row>
  </sheetData>
  <pageMargins left="0.75" right="0.75" top="1" bottom="1" header="0.5" footer="0.5"/>
  <headerFooter>
    <oddFooter>&amp;R_x000D_&amp;1#&amp;"Aptos"&amp;8&amp;K000000 Cisco Confidential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79A56"/>
  </sheetPr>
  <dimension ref="A1:G4"/>
  <sheetViews>
    <sheetView showGridLines="0" workbookViewId="0"/>
  </sheetViews>
  <sheetFormatPr defaultRowHeight="14.25" x14ac:dyDescent="0.45"/>
  <cols>
    <col min="1" max="1" width="11" customWidth="1"/>
    <col min="2" max="3" width="12" customWidth="1"/>
    <col min="4" max="4" width="11" customWidth="1"/>
    <col min="5" max="5" width="12" customWidth="1"/>
    <col min="6" max="6" width="16" customWidth="1"/>
    <col min="7" max="7" width="11" customWidth="1"/>
  </cols>
  <sheetData>
    <row r="1" spans="1:7" x14ac:dyDescent="0.45">
      <c r="A1" t="s">
        <v>1072</v>
      </c>
      <c r="B1" t="s">
        <v>205</v>
      </c>
      <c r="C1" t="s">
        <v>1073</v>
      </c>
      <c r="D1" t="s">
        <v>1074</v>
      </c>
      <c r="E1" t="s">
        <v>1075</v>
      </c>
      <c r="F1" t="s">
        <v>1076</v>
      </c>
      <c r="G1" t="s">
        <v>1077</v>
      </c>
    </row>
    <row r="2" spans="1:7" x14ac:dyDescent="0.45">
      <c r="A2">
        <v>1</v>
      </c>
      <c r="B2" t="s">
        <v>72</v>
      </c>
      <c r="C2" t="s">
        <v>1078</v>
      </c>
      <c r="D2" t="s">
        <v>1079</v>
      </c>
      <c r="E2" t="s">
        <v>1080</v>
      </c>
      <c r="G2">
        <v>1</v>
      </c>
    </row>
    <row r="3" spans="1:7" x14ac:dyDescent="0.45">
      <c r="A3">
        <v>2</v>
      </c>
      <c r="B3" t="s">
        <v>73</v>
      </c>
      <c r="C3" t="s">
        <v>1081</v>
      </c>
      <c r="D3" t="s">
        <v>1082</v>
      </c>
      <c r="E3" t="s">
        <v>1080</v>
      </c>
      <c r="F3">
        <v>1</v>
      </c>
      <c r="G3">
        <v>0</v>
      </c>
    </row>
    <row r="4" spans="1:7" x14ac:dyDescent="0.45">
      <c r="A4">
        <v>3</v>
      </c>
      <c r="B4" t="s">
        <v>74</v>
      </c>
      <c r="C4" t="s">
        <v>1083</v>
      </c>
      <c r="D4" t="s">
        <v>1084</v>
      </c>
      <c r="E4" t="s">
        <v>1080</v>
      </c>
      <c r="F4">
        <v>1</v>
      </c>
      <c r="G4">
        <v>0</v>
      </c>
    </row>
  </sheetData>
  <pageMargins left="0.75" right="0.75" top="1" bottom="1" header="0.5" footer="0.5"/>
  <headerFooter>
    <oddFooter>&amp;R_x000D_&amp;1#&amp;"Aptos"&amp;8&amp;K000000 Cisco Confidential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79A56"/>
  </sheetPr>
  <dimension ref="A1:G28"/>
  <sheetViews>
    <sheetView showGridLines="0" workbookViewId="0"/>
  </sheetViews>
  <sheetFormatPr defaultRowHeight="14.25" x14ac:dyDescent="0.45"/>
  <cols>
    <col min="1" max="1" width="11" customWidth="1"/>
    <col min="2" max="4" width="13" customWidth="1"/>
    <col min="5" max="5" width="17" customWidth="1"/>
    <col min="6" max="6" width="16" customWidth="1"/>
    <col min="7" max="7" width="15" customWidth="1"/>
  </cols>
  <sheetData>
    <row r="1" spans="1:7" x14ac:dyDescent="0.45">
      <c r="A1" t="s">
        <v>1085</v>
      </c>
      <c r="B1" t="s">
        <v>207</v>
      </c>
      <c r="C1" t="s">
        <v>208</v>
      </c>
      <c r="D1" t="s">
        <v>209</v>
      </c>
      <c r="E1" t="s">
        <v>1086</v>
      </c>
      <c r="F1" t="s">
        <v>210</v>
      </c>
      <c r="G1" t="s">
        <v>1087</v>
      </c>
    </row>
    <row r="2" spans="1:7" x14ac:dyDescent="0.45">
      <c r="A2">
        <v>1</v>
      </c>
      <c r="B2">
        <v>1000</v>
      </c>
      <c r="C2" t="s">
        <v>77</v>
      </c>
      <c r="D2" t="s">
        <v>78</v>
      </c>
      <c r="F2" t="s">
        <v>218</v>
      </c>
      <c r="G2" t="s">
        <v>211</v>
      </c>
    </row>
    <row r="3" spans="1:7" x14ac:dyDescent="0.45">
      <c r="A3">
        <v>2</v>
      </c>
      <c r="B3">
        <v>1100</v>
      </c>
      <c r="C3" t="s">
        <v>80</v>
      </c>
      <c r="D3" t="s">
        <v>78</v>
      </c>
      <c r="F3" t="s">
        <v>218</v>
      </c>
      <c r="G3" t="s">
        <v>211</v>
      </c>
    </row>
    <row r="4" spans="1:7" x14ac:dyDescent="0.45">
      <c r="A4">
        <v>3</v>
      </c>
      <c r="B4">
        <v>1200</v>
      </c>
      <c r="C4" t="s">
        <v>82</v>
      </c>
      <c r="D4" t="s">
        <v>78</v>
      </c>
      <c r="F4" t="s">
        <v>218</v>
      </c>
      <c r="G4" t="s">
        <v>211</v>
      </c>
    </row>
    <row r="5" spans="1:7" x14ac:dyDescent="0.45">
      <c r="A5">
        <v>4</v>
      </c>
      <c r="B5">
        <v>1300</v>
      </c>
      <c r="C5" t="s">
        <v>84</v>
      </c>
      <c r="D5" t="s">
        <v>78</v>
      </c>
      <c r="F5" t="s">
        <v>261</v>
      </c>
      <c r="G5" t="s">
        <v>211</v>
      </c>
    </row>
    <row r="6" spans="1:7" x14ac:dyDescent="0.45">
      <c r="A6">
        <v>5</v>
      </c>
      <c r="B6">
        <v>1500</v>
      </c>
      <c r="C6" t="s">
        <v>86</v>
      </c>
      <c r="D6" t="s">
        <v>78</v>
      </c>
      <c r="F6" t="s">
        <v>218</v>
      </c>
      <c r="G6" t="s">
        <v>211</v>
      </c>
    </row>
    <row r="7" spans="1:7" x14ac:dyDescent="0.45">
      <c r="A7">
        <v>6</v>
      </c>
      <c r="B7">
        <v>2000</v>
      </c>
      <c r="C7" t="s">
        <v>88</v>
      </c>
      <c r="D7" t="s">
        <v>89</v>
      </c>
      <c r="F7" t="s">
        <v>218</v>
      </c>
      <c r="G7" t="s">
        <v>212</v>
      </c>
    </row>
    <row r="8" spans="1:7" x14ac:dyDescent="0.45">
      <c r="A8">
        <v>7</v>
      </c>
      <c r="B8">
        <v>2100</v>
      </c>
      <c r="C8" t="s">
        <v>91</v>
      </c>
      <c r="D8" t="s">
        <v>89</v>
      </c>
      <c r="F8" t="s">
        <v>218</v>
      </c>
      <c r="G8" t="s">
        <v>212</v>
      </c>
    </row>
    <row r="9" spans="1:7" x14ac:dyDescent="0.45">
      <c r="A9">
        <v>8</v>
      </c>
      <c r="B9">
        <v>2200</v>
      </c>
      <c r="C9" t="s">
        <v>93</v>
      </c>
      <c r="D9" t="s">
        <v>89</v>
      </c>
      <c r="F9" t="s">
        <v>261</v>
      </c>
      <c r="G9" t="s">
        <v>212</v>
      </c>
    </row>
    <row r="10" spans="1:7" x14ac:dyDescent="0.45">
      <c r="A10">
        <v>9</v>
      </c>
      <c r="B10">
        <v>3000</v>
      </c>
      <c r="C10" t="s">
        <v>95</v>
      </c>
      <c r="D10" t="s">
        <v>96</v>
      </c>
      <c r="F10" t="s">
        <v>218</v>
      </c>
      <c r="G10" t="s">
        <v>212</v>
      </c>
    </row>
    <row r="11" spans="1:7" x14ac:dyDescent="0.45">
      <c r="A11">
        <v>10</v>
      </c>
      <c r="B11">
        <v>4000</v>
      </c>
      <c r="C11" t="s">
        <v>98</v>
      </c>
      <c r="D11" t="s">
        <v>99</v>
      </c>
      <c r="F11" t="s">
        <v>218</v>
      </c>
      <c r="G11" t="s">
        <v>212</v>
      </c>
    </row>
    <row r="12" spans="1:7" x14ac:dyDescent="0.45">
      <c r="A12">
        <v>11</v>
      </c>
      <c r="B12">
        <v>4010</v>
      </c>
      <c r="C12" t="s">
        <v>101</v>
      </c>
      <c r="D12" t="s">
        <v>99</v>
      </c>
      <c r="E12">
        <v>10</v>
      </c>
      <c r="F12" t="s">
        <v>218</v>
      </c>
      <c r="G12" t="s">
        <v>212</v>
      </c>
    </row>
    <row r="13" spans="1:7" x14ac:dyDescent="0.45">
      <c r="A13">
        <v>12</v>
      </c>
      <c r="B13">
        <v>4020</v>
      </c>
      <c r="C13" t="s">
        <v>103</v>
      </c>
      <c r="D13" t="s">
        <v>99</v>
      </c>
      <c r="E13">
        <v>10</v>
      </c>
      <c r="F13" t="s">
        <v>218</v>
      </c>
      <c r="G13" t="s">
        <v>212</v>
      </c>
    </row>
    <row r="14" spans="1:7" x14ac:dyDescent="0.45">
      <c r="A14">
        <v>13</v>
      </c>
      <c r="B14">
        <v>4030</v>
      </c>
      <c r="C14" t="s">
        <v>105</v>
      </c>
      <c r="D14" t="s">
        <v>99</v>
      </c>
      <c r="E14">
        <v>10</v>
      </c>
      <c r="F14" t="s">
        <v>218</v>
      </c>
      <c r="G14" t="s">
        <v>212</v>
      </c>
    </row>
    <row r="15" spans="1:7" x14ac:dyDescent="0.45">
      <c r="A15">
        <v>14</v>
      </c>
      <c r="B15">
        <v>4090</v>
      </c>
      <c r="C15" t="s">
        <v>107</v>
      </c>
      <c r="D15" t="s">
        <v>99</v>
      </c>
      <c r="F15" t="s">
        <v>261</v>
      </c>
      <c r="G15" t="s">
        <v>212</v>
      </c>
    </row>
    <row r="16" spans="1:7" x14ac:dyDescent="0.45">
      <c r="A16">
        <v>15</v>
      </c>
      <c r="B16">
        <v>5000</v>
      </c>
      <c r="C16" t="s">
        <v>109</v>
      </c>
      <c r="D16" t="s">
        <v>110</v>
      </c>
      <c r="F16" t="s">
        <v>218</v>
      </c>
      <c r="G16" t="s">
        <v>211</v>
      </c>
    </row>
    <row r="17" spans="1:7" x14ac:dyDescent="0.45">
      <c r="A17">
        <v>16</v>
      </c>
      <c r="B17">
        <v>5010</v>
      </c>
      <c r="C17" t="s">
        <v>112</v>
      </c>
      <c r="D17" t="s">
        <v>110</v>
      </c>
      <c r="E17">
        <v>15</v>
      </c>
      <c r="F17" t="s">
        <v>218</v>
      </c>
      <c r="G17" t="s">
        <v>211</v>
      </c>
    </row>
    <row r="18" spans="1:7" x14ac:dyDescent="0.45">
      <c r="A18">
        <v>17</v>
      </c>
      <c r="B18">
        <v>5020</v>
      </c>
      <c r="C18" t="s">
        <v>114</v>
      </c>
      <c r="D18" t="s">
        <v>110</v>
      </c>
      <c r="E18">
        <v>15</v>
      </c>
      <c r="F18" t="s">
        <v>218</v>
      </c>
      <c r="G18" t="s">
        <v>211</v>
      </c>
    </row>
    <row r="19" spans="1:7" x14ac:dyDescent="0.45">
      <c r="A19">
        <v>18</v>
      </c>
      <c r="B19">
        <v>6000</v>
      </c>
      <c r="C19" t="s">
        <v>116</v>
      </c>
      <c r="D19" t="s">
        <v>117</v>
      </c>
      <c r="F19" t="s">
        <v>218</v>
      </c>
      <c r="G19" t="s">
        <v>211</v>
      </c>
    </row>
    <row r="20" spans="1:7" x14ac:dyDescent="0.45">
      <c r="A20">
        <v>19</v>
      </c>
      <c r="B20">
        <v>6010</v>
      </c>
      <c r="C20" t="s">
        <v>119</v>
      </c>
      <c r="D20" t="s">
        <v>117</v>
      </c>
      <c r="E20">
        <v>18</v>
      </c>
      <c r="F20" t="s">
        <v>218</v>
      </c>
      <c r="G20" t="s">
        <v>211</v>
      </c>
    </row>
    <row r="21" spans="1:7" x14ac:dyDescent="0.45">
      <c r="A21">
        <v>20</v>
      </c>
      <c r="B21">
        <v>6020</v>
      </c>
      <c r="C21" t="s">
        <v>121</v>
      </c>
      <c r="D21" t="s">
        <v>117</v>
      </c>
      <c r="E21">
        <v>18</v>
      </c>
      <c r="F21" t="s">
        <v>218</v>
      </c>
      <c r="G21" t="s">
        <v>211</v>
      </c>
    </row>
    <row r="22" spans="1:7" x14ac:dyDescent="0.45">
      <c r="A22">
        <v>21</v>
      </c>
      <c r="B22">
        <v>6030</v>
      </c>
      <c r="C22" t="s">
        <v>123</v>
      </c>
      <c r="D22" t="s">
        <v>117</v>
      </c>
      <c r="E22">
        <v>18</v>
      </c>
      <c r="F22" t="s">
        <v>218</v>
      </c>
      <c r="G22" t="s">
        <v>211</v>
      </c>
    </row>
    <row r="23" spans="1:7" x14ac:dyDescent="0.45">
      <c r="A23">
        <v>22</v>
      </c>
      <c r="B23">
        <v>6040</v>
      </c>
      <c r="C23" t="s">
        <v>125</v>
      </c>
      <c r="D23" t="s">
        <v>117</v>
      </c>
      <c r="E23">
        <v>18</v>
      </c>
      <c r="F23" t="s">
        <v>218</v>
      </c>
      <c r="G23" t="s">
        <v>211</v>
      </c>
    </row>
    <row r="24" spans="1:7" x14ac:dyDescent="0.45">
      <c r="A24">
        <v>23</v>
      </c>
      <c r="B24">
        <v>6050</v>
      </c>
      <c r="C24" t="s">
        <v>127</v>
      </c>
      <c r="D24" t="s">
        <v>117</v>
      </c>
      <c r="E24">
        <v>18</v>
      </c>
      <c r="F24" t="s">
        <v>218</v>
      </c>
      <c r="G24" t="s">
        <v>211</v>
      </c>
    </row>
    <row r="25" spans="1:7" x14ac:dyDescent="0.45">
      <c r="A25">
        <v>24</v>
      </c>
      <c r="B25">
        <v>6060</v>
      </c>
      <c r="C25" t="s">
        <v>129</v>
      </c>
      <c r="D25" t="s">
        <v>117</v>
      </c>
      <c r="E25">
        <v>18</v>
      </c>
      <c r="F25" t="s">
        <v>218</v>
      </c>
      <c r="G25" t="s">
        <v>211</v>
      </c>
    </row>
    <row r="26" spans="1:7" x14ac:dyDescent="0.45">
      <c r="A26">
        <v>25</v>
      </c>
      <c r="B26">
        <v>6070</v>
      </c>
      <c r="C26" t="s">
        <v>131</v>
      </c>
      <c r="D26" t="s">
        <v>117</v>
      </c>
      <c r="E26">
        <v>18</v>
      </c>
      <c r="F26" t="s">
        <v>261</v>
      </c>
      <c r="G26" t="s">
        <v>211</v>
      </c>
    </row>
    <row r="27" spans="1:7" x14ac:dyDescent="0.45">
      <c r="A27">
        <v>26</v>
      </c>
      <c r="B27">
        <v>7000</v>
      </c>
      <c r="C27" t="s">
        <v>133</v>
      </c>
      <c r="D27" t="s">
        <v>117</v>
      </c>
      <c r="F27" t="s">
        <v>218</v>
      </c>
      <c r="G27" t="s">
        <v>211</v>
      </c>
    </row>
    <row r="28" spans="1:7" x14ac:dyDescent="0.45">
      <c r="A28">
        <v>27</v>
      </c>
      <c r="B28">
        <v>8000</v>
      </c>
      <c r="C28" t="s">
        <v>135</v>
      </c>
      <c r="D28" t="s">
        <v>117</v>
      </c>
      <c r="F28" t="s">
        <v>218</v>
      </c>
      <c r="G28" t="s">
        <v>211</v>
      </c>
    </row>
  </sheetData>
  <pageMargins left="0.75" right="0.75" top="1" bottom="1" header="0.5" footer="0.5"/>
  <headerFooter>
    <oddFooter>&amp;R_x000D_&amp;1#&amp;"Aptos"&amp;8&amp;K000000 Cisco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Dashboard</vt:lpstr>
      <vt:lpstr>Close_Checklist</vt:lpstr>
      <vt:lpstr>Trial_Balance</vt:lpstr>
      <vt:lpstr>Bank_Reconciliation</vt:lpstr>
      <vt:lpstr>Consolidation</vt:lpstr>
      <vt:lpstr>Budget_vs_Actual</vt:lpstr>
      <vt:lpstr>Dashboard_Data</vt:lpstr>
      <vt:lpstr>PQ_GL_Data</vt:lpstr>
      <vt:lpstr>PQ_Bank_Data</vt:lpstr>
      <vt:lpstr>PQ_Budget_Data</vt:lpstr>
      <vt:lpstr>PQ_Entity_Dim</vt:lpstr>
      <vt:lpstr>PQ_Account_Dim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Paula Maia Pauseiro -X (apauseir - CONCENTRIX OEI</cp:lastModifiedBy>
  <dcterms:created xsi:type="dcterms:W3CDTF">2026-09-23T13:41:37Z</dcterms:created>
  <dcterms:modified xsi:type="dcterms:W3CDTF">2026-09-26T12:57:27Z</dcterms:modified>
</cp:coreProperties>
</file>